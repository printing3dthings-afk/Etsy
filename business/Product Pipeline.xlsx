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By Family" sheetId="3" state="visible" r:id="rId3"/>
    <sheet xmlns:r="http://schemas.openxmlformats.org/officeDocument/2006/relationships" name="How to Use" sheetId="4" state="visible" r:id="rId4"/>
  </sheets>
  <definedNames>
    <definedName name="_xlnm._FilterDatabase" localSheetId="1" hidden="1">'Pipeline'!$A$4:$H$28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404040"/>
      <sz val="10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766E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1F386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</cols>
  <sheetData>
    <row r="1" ht="28" customHeight="1">
      <c r="A1" s="1" t="inlineStr">
        <is>
          <t>PRODUCT PIPELINE — OVERVIEW</t>
        </is>
      </c>
    </row>
    <row r="2" ht="30" customHeight="1">
      <c r="A2" s="2" t="inlineStr">
        <is>
          <t>What's stuck where, at a glance. All numbers below are live formulas from the Pipeline tab — edit the Pipeline, not this page.</t>
        </is>
      </c>
    </row>
    <row r="4">
      <c r="A4" s="3" t="inlineStr">
        <is>
          <t>Total products</t>
        </is>
      </c>
      <c r="B4" s="4" t="n">
        <f>COUNTA(Pipeline!A5:A28)</f>
        <v>24</v>
      </c>
    </row>
    <row r="5">
      <c r="A5" s="3" t="inlineStr">
        <is>
          <t>Blocked (has a blocker)</t>
        </is>
      </c>
      <c r="B5" s="4" t="n">
        <f>COUNTIFS(Pipeline!E5:E28,"&lt;&gt;—",Pipeline!E5:E28,"&lt;&gt;")</f>
        <v>11</v>
      </c>
    </row>
    <row r="6">
      <c r="A6" s="3" t="inlineStr">
        <is>
          <t>Listed or marketed</t>
        </is>
      </c>
      <c r="B6" s="4" t="n">
        <f>COUNTIF(Pipeline!C5:C28,"Listed")+COUNTIF(Pipeline!C5:C28,"Marketed")</f>
        <v>6</v>
      </c>
    </row>
    <row r="8">
      <c r="A8" s="5" t="inlineStr">
        <is>
          <t>Stage</t>
        </is>
      </c>
      <c r="B8" s="5" t="inlineStr">
        <is>
          <t>Count</t>
        </is>
      </c>
      <c r="C8" s="5" t="inlineStr">
        <is>
          <t>What it means</t>
        </is>
      </c>
    </row>
    <row r="9" ht="28" customHeight="1">
      <c r="A9" s="6" t="inlineStr">
        <is>
          <t>Idea</t>
        </is>
      </c>
      <c r="B9" s="7" t="n">
        <f>COUNTIF(Pipeline!C$5:C$28,A9)</f>
        <v>1</v>
      </c>
      <c r="C9" s="8" t="inlineStr">
        <is>
          <t>Form not chosen yet — needs 4–5 options proposed first.</t>
        </is>
      </c>
    </row>
    <row r="10" ht="28" customHeight="1">
      <c r="A10" s="6" t="inlineStr">
        <is>
          <t>Modeled</t>
        </is>
      </c>
      <c r="B10" s="7" t="n">
        <f>COUNTIF(Pipeline!C$5:C$28,A10)</f>
        <v>15</v>
      </c>
      <c r="C10" s="8" t="inlineStr">
        <is>
          <t>File exists, not yet printed.</t>
        </is>
      </c>
    </row>
    <row r="11" ht="28" customHeight="1">
      <c r="A11" s="6" t="inlineStr">
        <is>
          <t>Test Printed</t>
        </is>
      </c>
      <c r="B11" s="7" t="n">
        <f>COUNTIF(Pipeline!C$5:C$28,A11)</f>
        <v>2</v>
      </c>
      <c r="C11" s="8" t="inlineStr">
        <is>
          <t>Real print made — check it, fix problems, then photograph it.</t>
        </is>
      </c>
    </row>
    <row r="12" ht="28" customHeight="1">
      <c r="A12" s="6" t="inlineStr">
        <is>
          <t>Photographed</t>
        </is>
      </c>
      <c r="B12" s="7" t="n">
        <f>COUNTIF(Pipeline!C$5:C$28,A12)</f>
        <v>0</v>
      </c>
      <c r="C12" s="8" t="inlineStr">
        <is>
          <t>Real-product photos done — ready to draft the listing.</t>
        </is>
      </c>
    </row>
    <row r="13" ht="28" customHeight="1">
      <c r="A13" s="6" t="inlineStr">
        <is>
          <t>Listed</t>
        </is>
      </c>
      <c r="B13" s="7" t="n">
        <f>COUNTIF(Pipeline!C$5:C$28,A13)</f>
        <v>6</v>
      </c>
      <c r="C13" s="8" t="inlineStr">
        <is>
          <t>Live on Etsy.</t>
        </is>
      </c>
    </row>
    <row r="14" ht="28" customHeight="1">
      <c r="A14" s="6" t="inlineStr">
        <is>
          <t>Marketed</t>
        </is>
      </c>
      <c r="B14" s="7" t="n">
        <f>COUNTIF(Pipeline!C$5:C$28,A14)</f>
        <v>0</v>
      </c>
      <c r="C14" s="8" t="inlineStr">
        <is>
          <t>Listed and promoted on social.</t>
        </is>
      </c>
    </row>
    <row r="16">
      <c r="A16" s="9" t="inlineStr">
        <is>
          <t>WHERE IT'S STUCK RIGHT NOW (from the Pipeline tab, Oct 11)</t>
        </is>
      </c>
    </row>
    <row r="17" ht="32" customHeight="1">
      <c r="A17" s="10" t="inlineStr">
        <is>
          <t>• Christmas Village: modeled, not printed or listed — blocked on the 5 raised-letter sign rebuilds. Social launch target ~Nov 1; order-by cutoff ~Dec 12.</t>
        </is>
      </c>
    </row>
    <row r="18" ht="32" customHeight="1">
      <c r="A18" s="10" t="inlineStr">
        <is>
          <t>• Haunted Town: Post Office + Chapel test printed, the other 6 modeled — all blocked on listing photos, titles, tags and prices. Halloween 2026 is home display only.</t>
        </is>
      </c>
    </row>
    <row r="19" ht="32" customHeight="1">
      <c r="A19" s="10" t="inlineStr">
        <is>
          <t>• Discount Tire: modeled, blocked on your feedback on v3m.</t>
        </is>
      </c>
    </row>
    <row r="20" ht="32" customHeight="1">
      <c r="A20" s="10" t="inlineStr">
        <is>
          <t>• Nothing is at Photographed or Marketed yet — that's the gap: finished work with no listing photos is where products are piling up.</t>
        </is>
      </c>
    </row>
  </sheetData>
  <mergeCells count="7">
    <mergeCell ref="A19:C19"/>
    <mergeCell ref="A1:C1"/>
    <mergeCell ref="A2:C2"/>
    <mergeCell ref="A17:C17"/>
    <mergeCell ref="A18:C18"/>
    <mergeCell ref="A20:C20"/>
    <mergeCell ref="A16:C1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5" customWidth="1" min="3" max="3"/>
    <col width="36" customWidth="1" min="4" max="4"/>
    <col width="34" customWidth="1" min="5" max="5"/>
    <col width="10" customWidth="1" min="6" max="6"/>
    <col width="13" customWidth="1" min="7" max="7"/>
    <col width="44" customWidth="1" min="8" max="8"/>
  </cols>
  <sheetData>
    <row r="1" ht="28" customHeight="1">
      <c r="A1" s="1" t="inlineStr">
        <is>
          <t>PRODUCT PIPELINE — OnBrandCraftz</t>
        </is>
      </c>
    </row>
    <row r="2" ht="30" customHeight="1">
      <c r="A2" s="2" t="inlineStr">
        <is>
          <t>One row per product. Change only the Stage column as work moves — the Overview counts update themselves. Stages in order: Idea → Modeled → Test Printed → Photographed → Listed → Marketed.</t>
        </is>
      </c>
    </row>
    <row r="3">
      <c r="A3" s="11" t="inlineStr">
        <is>
          <t>Yellow cells are yours to edit. Etsy rule: listing photos must show the real physical product — renders are social-only.</t>
        </is>
      </c>
    </row>
    <row r="4" ht="20" customHeight="1">
      <c r="A4" s="5" t="inlineStr">
        <is>
          <t>Product</t>
        </is>
      </c>
      <c r="B4" s="5" t="inlineStr">
        <is>
          <t>Family</t>
        </is>
      </c>
      <c r="C4" s="5" t="inlineStr">
        <is>
          <t>Stage</t>
        </is>
      </c>
      <c r="D4" s="5" t="inlineStr">
        <is>
          <t>Next step</t>
        </is>
      </c>
      <c r="E4" s="5" t="inlineStr">
        <is>
          <t>Blocker / waiting on</t>
        </is>
      </c>
      <c r="F4" s="5" t="inlineStr">
        <is>
          <t>Priority</t>
        </is>
      </c>
      <c r="G4" s="5" t="inlineStr">
        <is>
          <t>Target</t>
        </is>
      </c>
      <c r="H4" s="5" t="inlineStr">
        <is>
          <t>Notes</t>
        </is>
      </c>
    </row>
    <row r="5" ht="45" customHeight="1">
      <c r="A5" s="8" t="inlineStr">
        <is>
          <t>Christmas Village — Complete Set (15 buildings)</t>
        </is>
      </c>
      <c r="B5" s="8" t="inlineStr">
        <is>
          <t>Christmas Village</t>
        </is>
      </c>
      <c r="C5" s="12" t="inlineStr">
        <is>
          <t>Modeled</t>
        </is>
      </c>
      <c r="D5" s="13" t="inlineStr">
        <is>
          <t>Print the buildings (print weekend Oct 10–11)</t>
        </is>
      </c>
      <c r="E5" s="13" t="inlineStr">
        <is>
          <t>Raised-letter rebuilds for 5 signs still pending — current files are Oct 3 carved-sign versions</t>
        </is>
      </c>
      <c r="F5" s="12" t="inlineStr">
        <is>
          <t>High</t>
        </is>
      </c>
      <c r="G5" s="12" t="inlineStr">
        <is>
          <t>~Nov 1 launch</t>
        </is>
      </c>
      <c r="H5" s="8" t="inlineStr">
        <is>
          <t>Gingerbread + Victorian lines. Social collage + 15-slide carousel published Oct 6; animated night-scene video awaiting approval. Not listed on Etsy yet.</t>
        </is>
      </c>
    </row>
    <row r="6" ht="45" customHeight="1">
      <c r="A6" s="14" t="inlineStr">
        <is>
          <t>Christmas Village — Inn</t>
        </is>
      </c>
      <c r="B6" s="14" t="inlineStr">
        <is>
          <t>Christmas Village</t>
        </is>
      </c>
      <c r="C6" s="12" t="inlineStr">
        <is>
          <t>Modeled</t>
        </is>
      </c>
      <c r="D6" s="13" t="inlineStr">
        <is>
          <t>Rebuild with raised INN sign, then print</t>
        </is>
      </c>
      <c r="E6" s="13" t="inlineStr">
        <is>
          <t>Waiting on raised-letter rebuild</t>
        </is>
      </c>
      <c r="F6" s="12" t="inlineStr">
        <is>
          <t>High</t>
        </is>
      </c>
      <c r="G6" s="12" t="inlineStr">
        <is>
          <t>~Nov 1</t>
        </is>
      </c>
      <c r="H6" s="14" t="inlineStr">
        <is>
          <t>Raised-letter sign approved (INN).</t>
        </is>
      </c>
    </row>
    <row r="7" ht="45" customHeight="1">
      <c r="A7" s="8" t="inlineStr">
        <is>
          <t>Christmas Village — Santa's Workshop</t>
        </is>
      </c>
      <c r="B7" s="8" t="inlineStr">
        <is>
          <t>Christmas Village</t>
        </is>
      </c>
      <c r="C7" s="12" t="inlineStr">
        <is>
          <t>Modeled</t>
        </is>
      </c>
      <c r="D7" s="13" t="inlineStr">
        <is>
          <t>Rebuild with raised sign, then print</t>
        </is>
      </c>
      <c r="E7" s="13" t="inlineStr">
        <is>
          <t>Waiting on raised-letter rebuild</t>
        </is>
      </c>
      <c r="F7" s="12" t="inlineStr">
        <is>
          <t>High</t>
        </is>
      </c>
      <c r="G7" s="12" t="inlineStr">
        <is>
          <t>~Nov 1</t>
        </is>
      </c>
      <c r="H7" s="8" t="inlineStr">
        <is>
          <t>Raised-letter sign approved.</t>
        </is>
      </c>
    </row>
    <row r="8" ht="45" customHeight="1">
      <c r="A8" s="14" t="inlineStr">
        <is>
          <t>Christmas Village — Toy Shop (TOYS)</t>
        </is>
      </c>
      <c r="B8" s="14" t="inlineStr">
        <is>
          <t>Christmas Village</t>
        </is>
      </c>
      <c r="C8" s="12" t="inlineStr">
        <is>
          <t>Modeled</t>
        </is>
      </c>
      <c r="D8" s="13" t="inlineStr">
        <is>
          <t>Rebuild with raised TOYS sign, then print</t>
        </is>
      </c>
      <c r="E8" s="13" t="inlineStr">
        <is>
          <t>Waiting on raised-letter rebuild</t>
        </is>
      </c>
      <c r="F8" s="12" t="inlineStr">
        <is>
          <t>High</t>
        </is>
      </c>
      <c r="G8" s="12" t="inlineStr">
        <is>
          <t>~Nov 1</t>
        </is>
      </c>
      <c r="H8" s="14" t="inlineStr">
        <is>
          <t>Raised-letter sign approved.</t>
        </is>
      </c>
    </row>
    <row r="9" ht="45" customHeight="1">
      <c r="A9" s="8" t="inlineStr">
        <is>
          <t>Christmas Village — Sweets Shop (SWEETS)</t>
        </is>
      </c>
      <c r="B9" s="8" t="inlineStr">
        <is>
          <t>Christmas Village</t>
        </is>
      </c>
      <c r="C9" s="12" t="inlineStr">
        <is>
          <t>Modeled</t>
        </is>
      </c>
      <c r="D9" s="13" t="inlineStr">
        <is>
          <t>Rebuild with raised SWEETS sign, then print</t>
        </is>
      </c>
      <c r="E9" s="13" t="inlineStr">
        <is>
          <t>Waiting on raised-letter rebuild</t>
        </is>
      </c>
      <c r="F9" s="12" t="inlineStr">
        <is>
          <t>High</t>
        </is>
      </c>
      <c r="G9" s="12" t="inlineStr">
        <is>
          <t>~Nov 1</t>
        </is>
      </c>
      <c r="H9" s="8" t="inlineStr">
        <is>
          <t>Raised-letter sign approved.</t>
        </is>
      </c>
    </row>
    <row r="10" ht="45" customHeight="1">
      <c r="A10" s="14" t="inlineStr">
        <is>
          <t>Christmas Village — Cocoa Shop (COCOA)</t>
        </is>
      </c>
      <c r="B10" s="14" t="inlineStr">
        <is>
          <t>Christmas Village</t>
        </is>
      </c>
      <c r="C10" s="12" t="inlineStr">
        <is>
          <t>Modeled</t>
        </is>
      </c>
      <c r="D10" s="13" t="inlineStr">
        <is>
          <t>Rebuild with raised COCOA sign, then print</t>
        </is>
      </c>
      <c r="E10" s="13" t="inlineStr">
        <is>
          <t>Waiting on raised-letter rebuild</t>
        </is>
      </c>
      <c r="F10" s="12" t="inlineStr">
        <is>
          <t>High</t>
        </is>
      </c>
      <c r="G10" s="12" t="inlineStr">
        <is>
          <t>~Nov 1</t>
        </is>
      </c>
      <c r="H10" s="14" t="inlineStr">
        <is>
          <t>Raised-letter sign approved.</t>
        </is>
      </c>
    </row>
    <row r="11" ht="45" customHeight="1">
      <c r="A11" s="8" t="inlineStr">
        <is>
          <t>Christmas Village — Other 10 buildings</t>
        </is>
      </c>
      <c r="B11" s="8" t="inlineStr">
        <is>
          <t>Christmas Village</t>
        </is>
      </c>
      <c r="C11" s="12" t="inlineStr">
        <is>
          <t>Modeled</t>
        </is>
      </c>
      <c r="D11" s="13" t="inlineStr">
        <is>
          <t>Print during Christmas print run</t>
        </is>
      </c>
      <c r="E11" s="13" t="inlineStr">
        <is>
          <t>—</t>
        </is>
      </c>
      <c r="F11" s="12" t="inlineStr">
        <is>
          <t>High</t>
        </is>
      </c>
      <c r="G11" s="12" t="inlineStr">
        <is>
          <t>~Nov 1</t>
        </is>
      </c>
      <c r="H11" s="8" t="inlineStr">
        <is>
          <t>Remaining gingerbread + Victorian buildings from the 15-model set. Individual names to split out as printed.</t>
        </is>
      </c>
    </row>
    <row r="12" ht="45" customHeight="1">
      <c r="A12" s="14" t="inlineStr">
        <is>
          <t>Haunted Town — Post Office</t>
        </is>
      </c>
      <c r="B12" s="14" t="inlineStr">
        <is>
          <t>Haunted Town</t>
        </is>
      </c>
      <c r="C12" s="12" t="inlineStr">
        <is>
          <t>Test Printed</t>
        </is>
      </c>
      <c r="D12" s="13" t="inlineStr">
        <is>
          <t>Photograph the real print, then draft listing</t>
        </is>
      </c>
      <c r="E12" s="13" t="inlineStr">
        <is>
          <t>Listing photos, title, tags &amp; price still to do</t>
        </is>
      </c>
      <c r="F12" s="12" t="inlineStr">
        <is>
          <t>Medium</t>
        </is>
      </c>
      <c r="G12" s="12" t="inlineStr"/>
      <c r="H12" s="14" t="inlineStr">
        <is>
          <t>Printed in white + a painted copy. Sign changed to raised letters after carved letters read poorly; test print of new signs — feedback pending. Home display only for Halloween 2026.</t>
        </is>
      </c>
    </row>
    <row r="13" ht="45" customHeight="1">
      <c r="A13" s="8" t="inlineStr">
        <is>
          <t>Haunted Town — Chapel</t>
        </is>
      </c>
      <c r="B13" s="8" t="inlineStr">
        <is>
          <t>Haunted Town</t>
        </is>
      </c>
      <c r="C13" s="12" t="inlineStr">
        <is>
          <t>Test Printed</t>
        </is>
      </c>
      <c r="D13" s="13" t="inlineStr">
        <is>
          <t>Photograph the real print, then draft listing</t>
        </is>
      </c>
      <c r="E13" s="13" t="inlineStr">
        <is>
          <t>Listing photos, title, tags &amp; price still to do</t>
        </is>
      </c>
      <c r="F13" s="12" t="inlineStr">
        <is>
          <t>Medium</t>
        </is>
      </c>
      <c r="G13" s="12" t="inlineStr"/>
      <c r="H13" s="8" t="inlineStr">
        <is>
          <t>Printed. Home display only for Halloween 2026.</t>
        </is>
      </c>
    </row>
    <row r="14" ht="45" customHeight="1">
      <c r="A14" s="14" t="inlineStr">
        <is>
          <t>Haunted Town — Bakery</t>
        </is>
      </c>
      <c r="B14" s="14" t="inlineStr">
        <is>
          <t>Haunted Town</t>
        </is>
      </c>
      <c r="C14" s="12" t="inlineStr">
        <is>
          <t>Modeled</t>
        </is>
      </c>
      <c r="D14" s="13" t="inlineStr">
        <is>
          <t>Test print</t>
        </is>
      </c>
      <c r="E14" s="13" t="inlineStr">
        <is>
          <t>—</t>
        </is>
      </c>
      <c r="F14" s="12" t="inlineStr">
        <is>
          <t>Medium</t>
        </is>
      </c>
      <c r="G14" s="12" t="inlineStr"/>
      <c r="H14" s="14" t="inlineStr">
        <is>
          <t>Square plan, hollow for LED tea light. Not listed yet.</t>
        </is>
      </c>
    </row>
    <row r="15" ht="45" customHeight="1">
      <c r="A15" s="8" t="inlineStr">
        <is>
          <t>Haunted Town — General Store</t>
        </is>
      </c>
      <c r="B15" s="8" t="inlineStr">
        <is>
          <t>Haunted Town</t>
        </is>
      </c>
      <c r="C15" s="12" t="inlineStr">
        <is>
          <t>Modeled</t>
        </is>
      </c>
      <c r="D15" s="13" t="inlineStr">
        <is>
          <t>Test print</t>
        </is>
      </c>
      <c r="E15" s="13" t="inlineStr">
        <is>
          <t>—</t>
        </is>
      </c>
      <c r="F15" s="12" t="inlineStr">
        <is>
          <t>Medium</t>
        </is>
      </c>
      <c r="G15" s="12" t="inlineStr"/>
      <c r="H15" s="8" t="inlineStr">
        <is>
          <t>Square plan, hollow for LED tea light. Not listed yet.</t>
        </is>
      </c>
    </row>
    <row r="16" ht="45" customHeight="1">
      <c r="A16" s="14" t="inlineStr">
        <is>
          <t>Haunted Town — Schoolhouse</t>
        </is>
      </c>
      <c r="B16" s="14" t="inlineStr">
        <is>
          <t>Haunted Town</t>
        </is>
      </c>
      <c r="C16" s="12" t="inlineStr">
        <is>
          <t>Modeled</t>
        </is>
      </c>
      <c r="D16" s="13" t="inlineStr">
        <is>
          <t>Test print</t>
        </is>
      </c>
      <c r="E16" s="13" t="inlineStr">
        <is>
          <t>—</t>
        </is>
      </c>
      <c r="F16" s="12" t="inlineStr">
        <is>
          <t>Medium</t>
        </is>
      </c>
      <c r="G16" s="12" t="inlineStr"/>
      <c r="H16" s="14" t="inlineStr">
        <is>
          <t>Square plan, hollow for LED tea light. Not listed yet.</t>
        </is>
      </c>
    </row>
    <row r="17" ht="45" customHeight="1">
      <c r="A17" s="8" t="inlineStr">
        <is>
          <t>Haunted Town — Undertaker</t>
        </is>
      </c>
      <c r="B17" s="8" t="inlineStr">
        <is>
          <t>Haunted Town</t>
        </is>
      </c>
      <c r="C17" s="12" t="inlineStr">
        <is>
          <t>Modeled</t>
        </is>
      </c>
      <c r="D17" s="13" t="inlineStr">
        <is>
          <t>Test print</t>
        </is>
      </c>
      <c r="E17" s="13" t="inlineStr">
        <is>
          <t>—</t>
        </is>
      </c>
      <c r="F17" s="12" t="inlineStr">
        <is>
          <t>Medium</t>
        </is>
      </c>
      <c r="G17" s="12" t="inlineStr"/>
      <c r="H17" s="8" t="inlineStr">
        <is>
          <t>Square plan, hollow for LED tea light. Not listed yet.</t>
        </is>
      </c>
    </row>
    <row r="18" ht="45" customHeight="1">
      <c r="A18" s="14" t="inlineStr">
        <is>
          <t>Haunted Town — Manor</t>
        </is>
      </c>
      <c r="B18" s="14" t="inlineStr">
        <is>
          <t>Haunted Town</t>
        </is>
      </c>
      <c r="C18" s="12" t="inlineStr">
        <is>
          <t>Modeled</t>
        </is>
      </c>
      <c r="D18" s="13" t="inlineStr">
        <is>
          <t>Test print</t>
        </is>
      </c>
      <c r="E18" s="13" t="inlineStr">
        <is>
          <t>—</t>
        </is>
      </c>
      <c r="F18" s="12" t="inlineStr">
        <is>
          <t>Medium</t>
        </is>
      </c>
      <c r="G18" s="12" t="inlineStr"/>
      <c r="H18" s="14" t="inlineStr">
        <is>
          <t>Square plan, hollow for LED tea light. Not listed yet.</t>
        </is>
      </c>
    </row>
    <row r="19" ht="45" customHeight="1">
      <c r="A19" s="8" t="inlineStr">
        <is>
          <t>Haunted Town — Cemetery (scenery)</t>
        </is>
      </c>
      <c r="B19" s="8" t="inlineStr">
        <is>
          <t>Haunted Town</t>
        </is>
      </c>
      <c r="C19" s="12" t="inlineStr">
        <is>
          <t>Modeled</t>
        </is>
      </c>
      <c r="D19" s="13" t="inlineStr">
        <is>
          <t>Test print</t>
        </is>
      </c>
      <c r="E19" s="13" t="inlineStr">
        <is>
          <t>—</t>
        </is>
      </c>
      <c r="F19" s="12" t="inlineStr">
        <is>
          <t>Medium</t>
        </is>
      </c>
      <c r="G19" s="12" t="inlineStr"/>
      <c r="H19" s="8" t="inlineStr">
        <is>
          <t>Scenery piece. Carved epitaphs stay as-is.</t>
        </is>
      </c>
    </row>
    <row r="20" ht="45" customHeight="1">
      <c r="A20" s="14" t="inlineStr">
        <is>
          <t>Discount Tire Store</t>
        </is>
      </c>
      <c r="B20" s="14" t="inlineStr">
        <is>
          <t>Custom Models</t>
        </is>
      </c>
      <c r="C20" s="12" t="inlineStr">
        <is>
          <t>Modeled</t>
        </is>
      </c>
      <c r="D20" s="13" t="inlineStr">
        <is>
          <t>Review v3m and give feedback</t>
        </is>
      </c>
      <c r="E20" s="13" t="inlineStr">
        <is>
          <t>Awaiting Scott's feedback on v3m (delivered Oct 7)</t>
        </is>
      </c>
      <c r="F20" s="12" t="inlineStr">
        <is>
          <t>High</t>
        </is>
      </c>
      <c r="G20" s="12" t="inlineStr"/>
      <c r="H20" s="14" t="inlineStr">
        <is>
          <t>Traced-logo lettering, tower fixed to z=64. Watertight, hollow for tea light. Not yet approved, so not test printed.</t>
        </is>
      </c>
    </row>
    <row r="21" ht="45" customHeight="1">
      <c r="A21" s="8" t="inlineStr">
        <is>
          <t>Fairy House</t>
        </is>
      </c>
      <c r="B21" s="8" t="inlineStr">
        <is>
          <t>Fairy / Garden</t>
        </is>
      </c>
      <c r="C21" s="12" t="inlineStr">
        <is>
          <t>Idea</t>
        </is>
      </c>
      <c r="D21" s="13" t="inlineStr">
        <is>
          <t>Pick a form from 4–5 design options</t>
        </is>
      </c>
      <c r="E21" s="13" t="inlineStr">
        <is>
          <t>Design choice not yet made</t>
        </is>
      </c>
      <c r="F21" s="12" t="inlineStr">
        <is>
          <t>Low</t>
        </is>
      </c>
      <c r="G21" s="12" t="inlineStr"/>
      <c r="H21" s="8" t="inlineStr">
        <is>
          <t>New designs need 4–5 distinct options proposed before modelling.</t>
        </is>
      </c>
    </row>
    <row r="22" ht="45" customHeight="1">
      <c r="A22" s="14" t="inlineStr">
        <is>
          <t>Digital Planner DP1026</t>
        </is>
      </c>
      <c r="B22" s="14" t="inlineStr">
        <is>
          <t>Digital Planners</t>
        </is>
      </c>
      <c r="C22" s="12" t="inlineStr">
        <is>
          <t>Listed</t>
        </is>
      </c>
      <c r="D22" s="13" t="inlineStr">
        <is>
          <t>—</t>
        </is>
      </c>
      <c r="E22" s="13" t="inlineStr">
        <is>
          <t>—</t>
        </is>
      </c>
      <c r="F22" s="12" t="inlineStr">
        <is>
          <t>Low</t>
        </is>
      </c>
      <c r="G22" s="12" t="inlineStr"/>
      <c r="H22" s="14" t="inlineStr">
        <is>
          <t>Live.</t>
        </is>
      </c>
    </row>
    <row r="23" ht="45" customHeight="1">
      <c r="A23" s="8" t="inlineStr">
        <is>
          <t>Digital Planner DP1027</t>
        </is>
      </c>
      <c r="B23" s="8" t="inlineStr">
        <is>
          <t>Digital Planners</t>
        </is>
      </c>
      <c r="C23" s="12" t="inlineStr">
        <is>
          <t>Listed</t>
        </is>
      </c>
      <c r="D23" s="13" t="inlineStr">
        <is>
          <t>—</t>
        </is>
      </c>
      <c r="E23" s="13" t="inlineStr">
        <is>
          <t>—</t>
        </is>
      </c>
      <c r="F23" s="12" t="inlineStr">
        <is>
          <t>Low</t>
        </is>
      </c>
      <c r="G23" s="12" t="inlineStr"/>
      <c r="H23" s="8" t="inlineStr">
        <is>
          <t>Live.</t>
        </is>
      </c>
    </row>
    <row r="24" ht="45" customHeight="1">
      <c r="A24" s="14" t="inlineStr">
        <is>
          <t>Digital Planner DP1028</t>
        </is>
      </c>
      <c r="B24" s="14" t="inlineStr">
        <is>
          <t>Digital Planners</t>
        </is>
      </c>
      <c r="C24" s="12" t="inlineStr">
        <is>
          <t>Listed</t>
        </is>
      </c>
      <c r="D24" s="13" t="inlineStr">
        <is>
          <t>—</t>
        </is>
      </c>
      <c r="E24" s="13" t="inlineStr">
        <is>
          <t>—</t>
        </is>
      </c>
      <c r="F24" s="12" t="inlineStr">
        <is>
          <t>Low</t>
        </is>
      </c>
      <c r="G24" s="12" t="inlineStr"/>
      <c r="H24" s="14" t="inlineStr">
        <is>
          <t>Live.</t>
        </is>
      </c>
    </row>
    <row r="25" ht="45" customHeight="1">
      <c r="A25" s="8" t="inlineStr">
        <is>
          <t>Digital Planner DP1029</t>
        </is>
      </c>
      <c r="B25" s="8" t="inlineStr">
        <is>
          <t>Digital Planners</t>
        </is>
      </c>
      <c r="C25" s="12" t="inlineStr">
        <is>
          <t>Listed</t>
        </is>
      </c>
      <c r="D25" s="13" t="inlineStr">
        <is>
          <t>—</t>
        </is>
      </c>
      <c r="E25" s="13" t="inlineStr">
        <is>
          <t>—</t>
        </is>
      </c>
      <c r="F25" s="12" t="inlineStr">
        <is>
          <t>Low</t>
        </is>
      </c>
      <c r="G25" s="12" t="inlineStr"/>
      <c r="H25" s="8" t="inlineStr">
        <is>
          <t>Live.</t>
        </is>
      </c>
    </row>
    <row r="26" ht="45" customHeight="1">
      <c r="A26" s="14" t="inlineStr">
        <is>
          <t>Digital Planners DP1030–DP1034</t>
        </is>
      </c>
      <c r="B26" s="14" t="inlineStr">
        <is>
          <t>Digital Planners</t>
        </is>
      </c>
      <c r="C26" s="12" t="inlineStr">
        <is>
          <t>Modeled</t>
        </is>
      </c>
      <c r="D26" s="13" t="inlineStr">
        <is>
          <t>Finish drafts, then list (via Frank approval)</t>
        </is>
      </c>
      <c r="E26" s="13" t="inlineStr">
        <is>
          <t>Drafts not finished</t>
        </is>
      </c>
      <c r="F26" s="12" t="inlineStr">
        <is>
          <t>Medium</t>
        </is>
      </c>
      <c r="G26" s="12" t="inlineStr"/>
      <c r="H26" s="14" t="inlineStr">
        <is>
          <t>5 planners drafted, not live yet. Nothing goes to Etsy without one-tap approval in Frank.</t>
        </is>
      </c>
    </row>
    <row r="27" ht="45" customHeight="1">
      <c r="A27" s="8" t="inlineStr">
        <is>
          <t>Kawaii Sticker Packs</t>
        </is>
      </c>
      <c r="B27" s="8" t="inlineStr">
        <is>
          <t>Stickers &amp; Printables</t>
        </is>
      </c>
      <c r="C27" s="12" t="inlineStr">
        <is>
          <t>Listed</t>
        </is>
      </c>
      <c r="D27" s="13" t="inlineStr">
        <is>
          <t>—</t>
        </is>
      </c>
      <c r="E27" s="13" t="inlineStr">
        <is>
          <t>—</t>
        </is>
      </c>
      <c r="F27" s="12" t="inlineStr">
        <is>
          <t>Low</t>
        </is>
      </c>
      <c r="G27" s="12" t="inlineStr"/>
      <c r="H27" s="8" t="inlineStr">
        <is>
          <t>Existing products, live.</t>
        </is>
      </c>
    </row>
    <row r="28" ht="45" customHeight="1">
      <c r="A28" s="14" t="inlineStr">
        <is>
          <t>Printable Wall Art / Calendars</t>
        </is>
      </c>
      <c r="B28" s="14" t="inlineStr">
        <is>
          <t>Stickers &amp; Printables</t>
        </is>
      </c>
      <c r="C28" s="12" t="inlineStr">
        <is>
          <t>Listed</t>
        </is>
      </c>
      <c r="D28" s="13" t="inlineStr">
        <is>
          <t>—</t>
        </is>
      </c>
      <c r="E28" s="13" t="inlineStr">
        <is>
          <t>—</t>
        </is>
      </c>
      <c r="F28" s="12" t="inlineStr">
        <is>
          <t>Low</t>
        </is>
      </c>
      <c r="G28" s="12" t="inlineStr"/>
      <c r="H28" s="14" t="inlineStr">
        <is>
          <t>Existing products, live.</t>
        </is>
      </c>
    </row>
  </sheetData>
  <autoFilter ref="A4:H28"/>
  <mergeCells count="3">
    <mergeCell ref="A3:H3"/>
    <mergeCell ref="A2:H2"/>
    <mergeCell ref="A1:H1"/>
  </mergeCells>
  <conditionalFormatting sqref="C5:C200">
    <cfRule type="expression" priority="1" dxfId="0">
      <formula>$C5="Idea"</formula>
    </cfRule>
    <cfRule type="expression" priority="2" dxfId="1">
      <formula>$C5="Modeled"</formula>
    </cfRule>
    <cfRule type="expression" priority="3" dxfId="2">
      <formula>$C5="Test Printed"</formula>
    </cfRule>
    <cfRule type="expression" priority="4" dxfId="3">
      <formula>$C5="Photographed"</formula>
    </cfRule>
    <cfRule type="expression" priority="5" dxfId="4">
      <formula>$C5="Listed"</formula>
    </cfRule>
    <cfRule type="expression" priority="6" dxfId="5">
      <formula>$C5="Marketed"</formula>
    </cfRule>
  </conditionalFormatting>
  <conditionalFormatting sqref="F5:F200">
    <cfRule type="expression" priority="7" dxfId="6">
      <formula>$F5="High"</formula>
    </cfRule>
  </conditionalFormatting>
  <dataValidations count="2">
    <dataValidation sqref="C5:C200" showDropDown="0" showInputMessage="0" showErrorMessage="0" allowBlank="1" prompt="Pick the furthest stage completed." type="list">
      <formula1>"Idea,Modeled,Test Printed,Photographed,Listed,Marketed"</formula1>
    </dataValidation>
    <dataValidation sqref="F5:F200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PRODUCTS BY FAMILY AND STAGE</t>
        </is>
      </c>
    </row>
    <row r="3">
      <c r="A3" s="5" t="inlineStr">
        <is>
          <t>Family</t>
        </is>
      </c>
      <c r="B3" s="5" t="inlineStr">
        <is>
          <t>Idea</t>
        </is>
      </c>
      <c r="C3" s="5" t="inlineStr">
        <is>
          <t>Modeled</t>
        </is>
      </c>
      <c r="D3" s="5" t="inlineStr">
        <is>
          <t>Test Printed</t>
        </is>
      </c>
      <c r="E3" s="5" t="inlineStr">
        <is>
          <t>Photographed</t>
        </is>
      </c>
      <c r="F3" s="5" t="inlineStr">
        <is>
          <t>Listed</t>
        </is>
      </c>
      <c r="G3" s="5" t="inlineStr">
        <is>
          <t>Marketed</t>
        </is>
      </c>
      <c r="H3" s="5" t="inlineStr">
        <is>
          <t>Total</t>
        </is>
      </c>
    </row>
    <row r="4">
      <c r="A4" s="6" t="inlineStr">
        <is>
          <t>Christmas Village</t>
        </is>
      </c>
      <c r="B4" s="7" t="n">
        <f>COUNTIFS(Pipeline!$B$5:$B$28,$A4,Pipeline!$C$5:$C$28,B$3)</f>
        <v>0</v>
      </c>
      <c r="C4" s="7" t="n">
        <f>COUNTIFS(Pipeline!$B$5:$B$28,$A4,Pipeline!$C$5:$C$28,C$3)</f>
        <v>7</v>
      </c>
      <c r="D4" s="7" t="n">
        <f>COUNTIFS(Pipeline!$B$5:$B$28,$A4,Pipeline!$C$5:$C$28,D$3)</f>
        <v>0</v>
      </c>
      <c r="E4" s="7" t="n">
        <f>COUNTIFS(Pipeline!$B$5:$B$28,$A4,Pipeline!$C$5:$C$28,E$3)</f>
        <v>0</v>
      </c>
      <c r="F4" s="7" t="n">
        <f>COUNTIFS(Pipeline!$B$5:$B$28,$A4,Pipeline!$C$5:$C$28,F$3)</f>
        <v>0</v>
      </c>
      <c r="G4" s="7" t="n">
        <f>COUNTIFS(Pipeline!$B$5:$B$28,$A4,Pipeline!$C$5:$C$28,G$3)</f>
        <v>0</v>
      </c>
      <c r="H4" s="4" t="n">
        <f>SUM(B4:G4)</f>
        <v>7</v>
      </c>
    </row>
    <row r="5">
      <c r="A5" s="6" t="inlineStr">
        <is>
          <t>Haunted Town</t>
        </is>
      </c>
      <c r="B5" s="7" t="n">
        <f>COUNTIFS(Pipeline!$B$5:$B$28,$A5,Pipeline!$C$5:$C$28,B$3)</f>
        <v>0</v>
      </c>
      <c r="C5" s="7" t="n">
        <f>COUNTIFS(Pipeline!$B$5:$B$28,$A5,Pipeline!$C$5:$C$28,C$3)</f>
        <v>6</v>
      </c>
      <c r="D5" s="7" t="n">
        <f>COUNTIFS(Pipeline!$B$5:$B$28,$A5,Pipeline!$C$5:$C$28,D$3)</f>
        <v>2</v>
      </c>
      <c r="E5" s="7" t="n">
        <f>COUNTIFS(Pipeline!$B$5:$B$28,$A5,Pipeline!$C$5:$C$28,E$3)</f>
        <v>0</v>
      </c>
      <c r="F5" s="7" t="n">
        <f>COUNTIFS(Pipeline!$B$5:$B$28,$A5,Pipeline!$C$5:$C$28,F$3)</f>
        <v>0</v>
      </c>
      <c r="G5" s="7" t="n">
        <f>COUNTIFS(Pipeline!$B$5:$B$28,$A5,Pipeline!$C$5:$C$28,G$3)</f>
        <v>0</v>
      </c>
      <c r="H5" s="4" t="n">
        <f>SUM(B5:G5)</f>
        <v>8</v>
      </c>
    </row>
    <row r="6">
      <c r="A6" s="6" t="inlineStr">
        <is>
          <t>Custom Models</t>
        </is>
      </c>
      <c r="B6" s="7" t="n">
        <f>COUNTIFS(Pipeline!$B$5:$B$28,$A6,Pipeline!$C$5:$C$28,B$3)</f>
        <v>0</v>
      </c>
      <c r="C6" s="7" t="n">
        <f>COUNTIFS(Pipeline!$B$5:$B$28,$A6,Pipeline!$C$5:$C$28,C$3)</f>
        <v>1</v>
      </c>
      <c r="D6" s="7" t="n">
        <f>COUNTIFS(Pipeline!$B$5:$B$28,$A6,Pipeline!$C$5:$C$28,D$3)</f>
        <v>0</v>
      </c>
      <c r="E6" s="7" t="n">
        <f>COUNTIFS(Pipeline!$B$5:$B$28,$A6,Pipeline!$C$5:$C$28,E$3)</f>
        <v>0</v>
      </c>
      <c r="F6" s="7" t="n">
        <f>COUNTIFS(Pipeline!$B$5:$B$28,$A6,Pipeline!$C$5:$C$28,F$3)</f>
        <v>0</v>
      </c>
      <c r="G6" s="7" t="n">
        <f>COUNTIFS(Pipeline!$B$5:$B$28,$A6,Pipeline!$C$5:$C$28,G$3)</f>
        <v>0</v>
      </c>
      <c r="H6" s="4" t="n">
        <f>SUM(B6:G6)</f>
        <v>1</v>
      </c>
    </row>
    <row r="7">
      <c r="A7" s="6" t="inlineStr">
        <is>
          <t>Fairy / Garden</t>
        </is>
      </c>
      <c r="B7" s="7" t="n">
        <f>COUNTIFS(Pipeline!$B$5:$B$28,$A7,Pipeline!$C$5:$C$28,B$3)</f>
        <v>1</v>
      </c>
      <c r="C7" s="7" t="n">
        <f>COUNTIFS(Pipeline!$B$5:$B$28,$A7,Pipeline!$C$5:$C$28,C$3)</f>
        <v>0</v>
      </c>
      <c r="D7" s="7" t="n">
        <f>COUNTIFS(Pipeline!$B$5:$B$28,$A7,Pipeline!$C$5:$C$28,D$3)</f>
        <v>0</v>
      </c>
      <c r="E7" s="7" t="n">
        <f>COUNTIFS(Pipeline!$B$5:$B$28,$A7,Pipeline!$C$5:$C$28,E$3)</f>
        <v>0</v>
      </c>
      <c r="F7" s="7" t="n">
        <f>COUNTIFS(Pipeline!$B$5:$B$28,$A7,Pipeline!$C$5:$C$28,F$3)</f>
        <v>0</v>
      </c>
      <c r="G7" s="7" t="n">
        <f>COUNTIFS(Pipeline!$B$5:$B$28,$A7,Pipeline!$C$5:$C$28,G$3)</f>
        <v>0</v>
      </c>
      <c r="H7" s="4" t="n">
        <f>SUM(B7:G7)</f>
        <v>1</v>
      </c>
    </row>
    <row r="8">
      <c r="A8" s="6" t="inlineStr">
        <is>
          <t>Digital Planners</t>
        </is>
      </c>
      <c r="B8" s="7" t="n">
        <f>COUNTIFS(Pipeline!$B$5:$B$28,$A8,Pipeline!$C$5:$C$28,B$3)</f>
        <v>0</v>
      </c>
      <c r="C8" s="7" t="n">
        <f>COUNTIFS(Pipeline!$B$5:$B$28,$A8,Pipeline!$C$5:$C$28,C$3)</f>
        <v>1</v>
      </c>
      <c r="D8" s="7" t="n">
        <f>COUNTIFS(Pipeline!$B$5:$B$28,$A8,Pipeline!$C$5:$C$28,D$3)</f>
        <v>0</v>
      </c>
      <c r="E8" s="7" t="n">
        <f>COUNTIFS(Pipeline!$B$5:$B$28,$A8,Pipeline!$C$5:$C$28,E$3)</f>
        <v>0</v>
      </c>
      <c r="F8" s="7" t="n">
        <f>COUNTIFS(Pipeline!$B$5:$B$28,$A8,Pipeline!$C$5:$C$28,F$3)</f>
        <v>4</v>
      </c>
      <c r="G8" s="7" t="n">
        <f>COUNTIFS(Pipeline!$B$5:$B$28,$A8,Pipeline!$C$5:$C$28,G$3)</f>
        <v>0</v>
      </c>
      <c r="H8" s="4" t="n">
        <f>SUM(B8:G8)</f>
        <v>5</v>
      </c>
    </row>
    <row r="9">
      <c r="A9" s="6" t="inlineStr">
        <is>
          <t>Stickers &amp; Printables</t>
        </is>
      </c>
      <c r="B9" s="7" t="n">
        <f>COUNTIFS(Pipeline!$B$5:$B$28,$A9,Pipeline!$C$5:$C$28,B$3)</f>
        <v>0</v>
      </c>
      <c r="C9" s="7" t="n">
        <f>COUNTIFS(Pipeline!$B$5:$B$28,$A9,Pipeline!$C$5:$C$28,C$3)</f>
        <v>0</v>
      </c>
      <c r="D9" s="7" t="n">
        <f>COUNTIFS(Pipeline!$B$5:$B$28,$A9,Pipeline!$C$5:$C$28,D$3)</f>
        <v>0</v>
      </c>
      <c r="E9" s="7" t="n">
        <f>COUNTIFS(Pipeline!$B$5:$B$28,$A9,Pipeline!$C$5:$C$28,E$3)</f>
        <v>0</v>
      </c>
      <c r="F9" s="7" t="n">
        <f>COUNTIFS(Pipeline!$B$5:$B$28,$A9,Pipeline!$C$5:$C$28,F$3)</f>
        <v>2</v>
      </c>
      <c r="G9" s="7" t="n">
        <f>COUNTIFS(Pipeline!$B$5:$B$28,$A9,Pipeline!$C$5:$C$28,G$3)</f>
        <v>0</v>
      </c>
      <c r="H9" s="4" t="n">
        <f>SUM(B9:G9)</f>
        <v>2</v>
      </c>
    </row>
    <row r="10">
      <c r="A10" s="15" t="inlineStr">
        <is>
          <t>Total</t>
        </is>
      </c>
      <c r="B10" s="4" t="n">
        <f>SUM(B4:B9)</f>
        <v>1</v>
      </c>
      <c r="C10" s="4" t="n">
        <f>SUM(C4:C9)</f>
        <v>15</v>
      </c>
      <c r="D10" s="4" t="n">
        <f>SUM(D4:D9)</f>
        <v>2</v>
      </c>
      <c r="E10" s="4" t="n">
        <f>SUM(E4:E9)</f>
        <v>0</v>
      </c>
      <c r="F10" s="4" t="n">
        <f>SUM(F4:F9)</f>
        <v>6</v>
      </c>
      <c r="G10" s="4" t="n">
        <f>SUM(G4:G9)</f>
        <v>0</v>
      </c>
      <c r="H10" s="4" t="n">
        <f>SUM(H4:H9)</f>
        <v>24</v>
      </c>
    </row>
  </sheetData>
  <mergeCells count="1">
    <mergeCell ref="A1:H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s="16" t="inlineStr">
        <is>
          <t>HOW TO USE THIS TRACKER</t>
        </is>
      </c>
    </row>
    <row r="3" ht="30" customHeight="1">
      <c r="A3" s="10" t="inlineStr">
        <is>
          <t>1. Work in the Pipeline tab. One row per product.</t>
        </is>
      </c>
    </row>
    <row r="4" ht="45" customHeight="1">
      <c r="A4" s="10" t="inlineStr">
        <is>
          <t>2. When work moves, change the Stage cell (tap it — there's a dropdown): Idea → Modeled → Test Printed → Photographed → Listed → Marketed. Use the furthest stage actually finished.</t>
        </is>
      </c>
    </row>
    <row r="5" ht="30" customHeight="1">
      <c r="A5" s="10" t="inlineStr">
        <is>
          <t>3. Keep Next step to the single next action, and Blocker to what's actually stopping it (write — when nothing is).</t>
        </is>
      </c>
    </row>
    <row r="6" ht="30" customHeight="1">
      <c r="A6" s="10" t="inlineStr">
        <is>
          <t>4. Overview and By Family update themselves from formulas — don't type numbers there.</t>
        </is>
      </c>
    </row>
    <row r="7" ht="45" customHeight="1">
      <c r="A7" s="10" t="inlineStr">
        <is>
          <t>5. Add a product: add a row at the bottom of the Pipeline list. The Overview totals count rows 5–28; if you go past that, tell Benson and the ranges get extended.</t>
        </is>
      </c>
    </row>
    <row r="8" ht="30" customHeight="1">
      <c r="A8" s="10" t="inlineStr">
        <is>
          <t>6. Photographed means real-product photos. Etsy listings must show the real physical product — renders and AI images are for Instagram/Threads only.</t>
        </is>
      </c>
    </row>
    <row r="9" ht="30" customHeight="1">
      <c r="A9" s="10" t="inlineStr">
        <is>
          <t>7. Nothing publishes to Etsy from this sheet. Listings still go through your one-tap approval in Frank's Action Center.</t>
        </is>
      </c>
    </row>
    <row r="10" ht="45" customHeight="1">
      <c r="A10" s="10" t="inlineStr">
        <is>
          <t>Starting point (Oct 11, 2026): stages were filled in from what's known — Christmas Village modeled with print planned Oct 10–11 and 5 raised-letter rebuilds pending; Haunted Town Post Office and Chapel printed, the rest modeled; Discount Tire v3m awaiting feedback; DP1026–DP1029 live and DP1030–DP1034 drafted. Correct any row that's off and the counts follow.</t>
        </is>
      </c>
    </row>
  </sheetData>
  <mergeCells count="1">
    <mergeCell ref="A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OnBrandCraftz</dc:creator>
  <dc:title xmlns:dc="http://purl.org/dc/elements/1.1/">Product Pipeline — OnBrandCraftz</dc:title>
  <dcterms:created xmlns:dcterms="http://purl.org/dc/terms/" xmlns:xsi="http://www.w3.org/2001/XMLSchema-instance" xsi:type="dcterms:W3CDTF">2026-10-11T23:35:15+00:00Z</dcterms:created>
  <dcterms:modified xmlns:dcterms="http://purl.org/dc/terms/" xmlns:xsi="http://www.w3.org/2001/XMLSchema-instance" xsi:type="dcterms:W3CDTF">2026-10-11T23:35:15+00:00Z</dcterms:modified>
</cp:coreProperties>
</file>