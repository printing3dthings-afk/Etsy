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Matte PLA" sheetId="2" state="visible" r:id="rId2"/>
    <sheet xmlns:r="http://schemas.openxmlformats.org/officeDocument/2006/relationships" name="PLA+" sheetId="3" state="visible" r:id="rId3"/>
    <sheet xmlns:r="http://schemas.openxmlformats.org/officeDocument/2006/relationships" name="Silk" sheetId="4" state="visible" r:id="rId4"/>
    <sheet xmlns:r="http://schemas.openxmlformats.org/officeDocument/2006/relationships" name="Regular" sheetId="5" state="visible" r:id="rId5"/>
    <sheet xmlns:r="http://schemas.openxmlformats.org/officeDocument/2006/relationships" name="TPU" sheetId="6" state="visible" r:id="rId6"/>
    <sheet xmlns:r="http://schemas.openxmlformats.org/officeDocument/2006/relationships" name="PETG" sheetId="7" state="visible" r:id="rId7"/>
    <sheet xmlns:r="http://schemas.openxmlformats.org/officeDocument/2006/relationships" name="ABS-ASA" sheetId="8" state="visible" r:id="rId8"/>
    <sheet xmlns:r="http://schemas.openxmlformats.org/officeDocument/2006/relationships" name="Specialty" sheetId="9" state="visible" r:id="rId9"/>
    <sheet xmlns:r="http://schemas.openxmlformats.org/officeDocument/2006/relationships" name="History" sheetId="10" state="visible" r:id="rId10"/>
    <sheet xmlns:r="http://schemas.openxmlformats.org/officeDocument/2006/relationships" name="How to Use" sheetId="11" state="visible" r:id="rId11"/>
  </sheets>
  <definedNames>
    <definedName name="_xlnm.Print_Titles" localSheetId="1">'Matte PLA'!$1:$3</definedName>
    <definedName name="_xlnm._FilterDatabase" localSheetId="2" hidden="1">'PLA+'!$A$4:$N$4</definedName>
    <definedName name="_xlnm.Print_Titles" localSheetId="2">'PLA+'!$1:$4</definedName>
    <definedName name="_xlnm._FilterDatabase" localSheetId="3" hidden="1">'Silk'!$A$4:$N$4</definedName>
    <definedName name="_xlnm.Print_Titles" localSheetId="3">'Silk'!$1:$4</definedName>
    <definedName name="_xlnm._FilterDatabase" localSheetId="4" hidden="1">'Regular'!$A$4:$N$4</definedName>
    <definedName name="_xlnm.Print_Titles" localSheetId="4">'Regular'!$1:$4</definedName>
    <definedName name="_xlnm._FilterDatabase" localSheetId="5" hidden="1">'TPU'!$A$4:$N$4</definedName>
    <definedName name="_xlnm.Print_Titles" localSheetId="5">'TPU'!$1:$4</definedName>
    <definedName name="_xlnm._FilterDatabase" localSheetId="6" hidden="1">'PETG'!$A$4:$N$4</definedName>
    <definedName name="_xlnm.Print_Titles" localSheetId="6">'PETG'!$1:$4</definedName>
    <definedName name="_xlnm._FilterDatabase" localSheetId="7" hidden="1">'ABS-ASA'!$A$4:$N$4</definedName>
    <definedName name="_xlnm.Print_Titles" localSheetId="7">'ABS-ASA'!$1:$4</definedName>
    <definedName name="_xlnm._FilterDatabase" localSheetId="8" hidden="1">'Specialty'!$A$4:$N$4</definedName>
    <definedName name="_xlnm.Print_Titles" localSheetId="8">'Specialty'!$1:$4</definedName>
  </definedNames>
  <calcPr calcId="124519" fullCalcOnLoad="1"/>
</workbook>
</file>

<file path=xl/styles.xml><?xml version="1.0" encoding="utf-8"?>
<styleSheet xmlns="http://schemas.openxmlformats.org/spreadsheetml/2006/main">
  <numFmts count="2">
    <numFmt numFmtId="164" formatCode="&quot;$&quot;#,##0.00"/>
    <numFmt numFmtId="165" formatCode="yyyy-mm-dd"/>
  </numFmts>
  <fonts count="11">
    <font>
      <name val="Calibri"/>
      <family val="2"/>
      <color theme="1"/>
      <sz val="11"/>
      <scheme val="minor"/>
    </font>
    <font>
      <name val="Calibri"/>
      <b val="1"/>
      <color rgb="001F3864"/>
      <sz val="15"/>
    </font>
    <font>
      <name val="Calibri"/>
      <i val="1"/>
      <color rgb="00595959"/>
      <sz val="10"/>
    </font>
    <font>
      <name val="Calibri"/>
      <b val="1"/>
      <color rgb="00FFFFFF"/>
      <sz val="10"/>
    </font>
    <font>
      <name val="Calibri"/>
      <b val="1"/>
      <color rgb="001F3864"/>
      <sz val="11"/>
    </font>
    <font>
      <name val="Calibri"/>
      <b val="1"/>
      <sz val="10"/>
    </font>
    <font>
      <name val="Calibri"/>
      <sz val="10"/>
    </font>
    <font>
      <name val="Calibri"/>
      <color rgb="000563C1"/>
      <sz val="9"/>
      <u val="single"/>
    </font>
    <font>
      <name val="Calibri"/>
      <b val="1"/>
      <color rgb="001F3864"/>
      <sz val="14"/>
    </font>
    <font>
      <name val="Calibri"/>
      <b val="1"/>
      <color rgb="001F3864"/>
      <sz val="16"/>
    </font>
    <font>
      <name val="Calibri"/>
      <color rgb="000563C1"/>
      <sz val="10"/>
      <u val="single"/>
    </font>
  </fonts>
  <fills count="7">
    <fill>
      <patternFill/>
    </fill>
    <fill>
      <patternFill patternType="gray125"/>
    </fill>
    <fill>
      <patternFill patternType="solid">
        <fgColor rgb="001F3864"/>
      </patternFill>
    </fill>
    <fill>
      <patternFill patternType="solid">
        <fgColor rgb="00D9E2F3"/>
      </patternFill>
    </fill>
    <fill>
      <patternFill patternType="solid">
        <fgColor rgb="00FFF2CC"/>
      </patternFill>
    </fill>
    <fill>
      <patternFill patternType="solid">
        <fgColor rgb="00E2EFDA"/>
      </patternFill>
    </fill>
    <fill>
      <patternFill patternType="solid">
        <fgColor rgb="00FCE4E4"/>
      </patternFill>
    </fill>
  </fills>
  <borders count="6">
    <border>
      <left/>
      <right/>
      <top/>
      <bottom/>
      <diagonal/>
    </border>
    <border>
      <left style="thin">
        <color rgb="00B0B0B0"/>
      </left>
      <right style="thin">
        <color rgb="00B0B0B0"/>
      </right>
      <top style="thin">
        <color rgb="00B0B0B0"/>
      </top>
      <bottom style="thin">
        <color rgb="00B0B0B0"/>
      </bottom>
    </border>
    <border>
      <left/>
      <right/>
      <top style="thin">
        <color rgb="00B0B0B0"/>
      </top>
      <bottom/>
      <diagonal/>
    </border>
    <border>
      <left/>
      <right style="thin">
        <color rgb="00B0B0B0"/>
      </right>
      <top style="thin">
        <color rgb="00B0B0B0"/>
      </top>
      <bottom/>
      <diagonal/>
    </border>
    <border>
      <left/>
      <right/>
      <top style="thin">
        <color rgb="00B0B0B0"/>
      </top>
      <bottom style="thin">
        <color rgb="00B0B0B0"/>
      </bottom>
      <diagonal/>
    </border>
    <border>
      <left/>
      <right style="thin">
        <color rgb="00B0B0B0"/>
      </right>
      <top style="thin">
        <color rgb="00B0B0B0"/>
      </top>
      <bottom style="thin">
        <color rgb="00B0B0B0"/>
      </bottom>
      <diagonal/>
    </border>
  </borders>
  <cellStyleXfs count="1">
    <xf numFmtId="0" fontId="0" fillId="0" borderId="0"/>
  </cellStyleXfs>
  <cellXfs count="29">
    <xf numFmtId="0" fontId="0" fillId="0" borderId="0" pivotButton="0" quotePrefix="0" xfId="0"/>
    <xf numFmtId="0" fontId="9" fillId="0" borderId="0" pivotButton="0" quotePrefix="0" xfId="0"/>
    <xf numFmtId="0" fontId="2" fillId="0" borderId="0" applyAlignment="1" pivotButton="0" quotePrefix="0" xfId="0">
      <alignment vertical="center" wrapText="1"/>
    </xf>
    <xf numFmtId="0" fontId="4" fillId="0" borderId="0" pivotButton="0" quotePrefix="0" xfId="0"/>
    <xf numFmtId="0" fontId="10" fillId="0" borderId="1" applyAlignment="1" pivotButton="0" quotePrefix="0" xfId="0">
      <alignment vertical="center"/>
    </xf>
    <xf numFmtId="0" fontId="6" fillId="0" borderId="1" applyAlignment="1" pivotButton="0" quotePrefix="0" xfId="0">
      <alignment vertical="center"/>
    </xf>
    <xf numFmtId="0" fontId="5" fillId="0" borderId="1" applyAlignment="1" pivotButton="0" quotePrefix="0" xfId="0">
      <alignment vertical="top" wrapText="1"/>
    </xf>
    <xf numFmtId="0" fontId="6" fillId="0" borderId="1" applyAlignment="1" pivotButton="0" quotePrefix="0" xfId="0">
      <alignment vertical="top" wrapText="1"/>
    </xf>
    <xf numFmtId="0" fontId="1" fillId="0" borderId="0" pivotButton="0" quotePrefix="0" xfId="0"/>
    <xf numFmtId="0" fontId="3" fillId="2" borderId="1" applyAlignment="1" pivotButton="0" quotePrefix="0" xfId="0">
      <alignment horizontal="center" vertical="center" wrapText="1"/>
    </xf>
    <xf numFmtId="0" fontId="4" fillId="3" borderId="1" applyAlignment="1" pivotButton="0" quotePrefix="0" xfId="0">
      <alignment vertical="center"/>
    </xf>
    <xf numFmtId="0" fontId="0" fillId="3" borderId="1" pivotButton="0" quotePrefix="0" xfId="0"/>
    <xf numFmtId="0" fontId="5" fillId="4" borderId="1" applyAlignment="1" pivotButton="0" quotePrefix="0" xfId="0">
      <alignment vertical="center" wrapText="1"/>
    </xf>
    <xf numFmtId="0" fontId="0" fillId="4" borderId="1" pivotButton="0" quotePrefix="0" xfId="0"/>
    <xf numFmtId="0" fontId="6" fillId="0" borderId="1" applyAlignment="1" pivotButton="0" quotePrefix="0" xfId="0">
      <alignment vertical="center" wrapText="1"/>
    </xf>
    <xf numFmtId="164" fontId="6" fillId="0" borderId="1" applyAlignment="1" pivotButton="0" quotePrefix="0" xfId="0">
      <alignment horizontal="center" vertical="center"/>
    </xf>
    <xf numFmtId="0" fontId="6" fillId="0" borderId="1" applyAlignment="1" pivotButton="0" quotePrefix="0" xfId="0">
      <alignment horizontal="center" vertical="center"/>
    </xf>
    <xf numFmtId="0" fontId="6" fillId="5" borderId="1" applyAlignment="1" pivotButton="0" quotePrefix="0" xfId="0">
      <alignment vertical="center" wrapText="1"/>
    </xf>
    <xf numFmtId="0" fontId="7" fillId="0" borderId="1" applyAlignment="1" pivotButton="0" quotePrefix="0" xfId="0">
      <alignment horizontal="center" vertical="center"/>
    </xf>
    <xf numFmtId="0" fontId="6" fillId="6" borderId="1" applyAlignment="1" pivotButton="0" quotePrefix="0" xfId="0">
      <alignment vertical="center" wrapText="1"/>
    </xf>
    <xf numFmtId="0" fontId="5" fillId="4" borderId="0" applyAlignment="1" pivotButton="0" quotePrefix="0" xfId="0">
      <alignment vertical="center" wrapText="1"/>
    </xf>
    <xf numFmtId="0" fontId="8" fillId="0" borderId="0" pivotButton="0" quotePrefix="0" xfId="0"/>
    <xf numFmtId="165" fontId="6" fillId="0" borderId="1" applyAlignment="1" pivotButton="0" quotePrefix="0" xfId="0">
      <alignment vertical="center" wrapText="1"/>
    </xf>
    <xf numFmtId="164" fontId="6" fillId="0" borderId="1" applyAlignment="1" pivotButton="0" quotePrefix="0" xfId="0">
      <alignment vertical="center" wrapText="1"/>
    </xf>
    <xf numFmtId="0" fontId="0" fillId="0" borderId="4" pivotButton="0" quotePrefix="0" xfId="0"/>
    <xf numFmtId="0" fontId="0" fillId="0" borderId="5" pivotButton="0" quotePrefix="0" xfId="0"/>
    <xf numFmtId="164" fontId="6" fillId="0" borderId="1" applyAlignment="1" pivotButton="0" quotePrefix="0" xfId="0">
      <alignment horizontal="center" vertical="center" wrapText="1"/>
    </xf>
    <xf numFmtId="0" fontId="6" fillId="0" borderId="1" applyAlignment="1" pivotButton="0" quotePrefix="0" xfId="0">
      <alignment horizontal="center" vertical="center" wrapText="1"/>
    </xf>
    <xf numFmtId="165" fontId="6" fillId="0" borderId="1" applyAlignment="1" pivotButton="0" quotePrefix="0" xfId="0">
      <alignment vertical="center" wrapText="1"/>
    </xf>
  </cellXfs>
  <cellStyles count="1">
    <cellStyle name="Normal" xfId="0" builtinId="0" hidden="0"/>
  </cellStyles>
  <dxfs count="1">
    <dxf>
      <font>
        <name val="Calibri"/>
        <b val="1"/>
        <color rgb="00006100"/>
        <sz val="10"/>
      </font>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microcenter.com/search/search_results.aspx?sortby=match&amp;fq=Category:Filaments+%26+Resins|754,Material:PLA+&amp;rd=1" TargetMode="External" Id="rId1"/><Relationship Type="http://schemas.openxmlformats.org/officeDocument/2006/relationships/hyperlink" Target="https://overture3d.com/collections/compare-filament/products/overture-matte-pla" TargetMode="External" Id="rId2"/><Relationship Type="http://schemas.openxmlformats.org/officeDocument/2006/relationships/hyperlink" Target="https://store.sunlu.com/collections/matte-pla" TargetMode="External" Id="rId3"/><Relationship Type="http://schemas.openxmlformats.org/officeDocument/2006/relationships/hyperlink" Target="https://www.amazon.com/dp/B0DLKPPDR7" TargetMode="External" Id="rId4"/><Relationship Type="http://schemas.openxmlformats.org/officeDocument/2006/relationships/hyperlink" Target="https://www.amazon.com/dp/B0FHDLRHX2/ref=cm_sw_r_as_gl_apa_gl_i_MX2VF5FDPH198V21M2J8" TargetMode="External" Id="rId5"/><Relationship Type="http://schemas.openxmlformats.org/officeDocument/2006/relationships/hyperlink" Target="https://slickdeals.net/f/18430639-10-pack-1kg-elegoo-1-75mm-3d-printer-filament-rapid-pla-110-matte-pla-116-more-free-s-h-at-elegoo" TargetMode="External" Id="rId6"/><Relationship Type="http://schemas.openxmlformats.org/officeDocument/2006/relationships/hyperlink" Target="https://us.store.bambulab.com/products/pla-matte?skr=yes&amp;id=41884210233480&amp;modelId=608645" TargetMode="External" Id="rId7"/><Relationship Type="http://schemas.openxmlformats.org/officeDocument/2006/relationships/hyperlink" Target="https://us.store.bambulab.com/products/pla-matte?skr=yes&amp;id=41884210233480&amp;modelId=608645" TargetMode="External" Id="rId8"/><Relationship Type="http://schemas.openxmlformats.org/officeDocument/2006/relationships/hyperlink" Target="https://www.adorama.com/creality-1-75-mm-cr-series-pla-matte-filament-3d-printers/p/crp1" TargetMode="External" Id="rId9"/><Relationship Type="http://schemas.openxmlformats.org/officeDocument/2006/relationships/hyperlink" Target="https://www.microcenter.com/search/search_results.aspx?sortby=match&amp;fq=Category:Filaments+%26+Resins|754,Material:PLA+&amp;rd=1" TargetMode="External" Id="rId10"/><Relationship Type="http://schemas.openxmlformats.org/officeDocument/2006/relationships/hyperlink" Target="https://overture3d.com/collections/compare-filament/products/overture-matte-pla" TargetMode="External" Id="rId11"/><Relationship Type="http://schemas.openxmlformats.org/officeDocument/2006/relationships/hyperlink" Target="https://store.sunlu.com/collections/matte-pla" TargetMode="External" Id="rId12"/><Relationship Type="http://schemas.openxmlformats.org/officeDocument/2006/relationships/hyperlink" Target="https://www.amazon.com/dp/B0CHS7DP8C/ref=cm_sw_r_cso_fb_apan_dp_C05KBF0EBSMAYQ9W5A6G_1" TargetMode="External" Id="rId13"/><Relationship Type="http://schemas.openxmlformats.org/officeDocument/2006/relationships/hyperlink" Target="https://us.store.bambulab.com/products/pla-matte?skr=yes&amp;id=41884210233480&amp;modelId=608645" TargetMode="External" Id="rId14"/><Relationship Type="http://schemas.openxmlformats.org/officeDocument/2006/relationships/hyperlink" Target="https://www.adorama.com/creality-1-75-mm-cr-series-pla-matte-filament-3d-printers/p/crp1" TargetMode="External" Id="rId15"/><Relationship Type="http://schemas.openxmlformats.org/officeDocument/2006/relationships/hyperlink" Target="https://www.microcenter.com/search/search_results.aspx?sortby=match&amp;fq=Category:Filaments+%26+Resins|754,Material:PLA+&amp;rd=1" TargetMode="External" Id="rId16"/><Relationship Type="http://schemas.openxmlformats.org/officeDocument/2006/relationships/hyperlink" Target="https://overture3d.com/collections/compare-filament/products/overture-matte-pla" TargetMode="External" Id="rId17"/><Relationship Type="http://schemas.openxmlformats.org/officeDocument/2006/relationships/hyperlink" Target="https://store.sunlu.com/collections/matte-pla" TargetMode="External" Id="rId18"/><Relationship Type="http://schemas.openxmlformats.org/officeDocument/2006/relationships/hyperlink" Target="https://www.amazon.com/dp/B0CHS7DP8C/ref=cm_sw_r_cso_fb_apan_dp_C05KBF0EBSMAYQ9W5A6G_1" TargetMode="External" Id="rId19"/><Relationship Type="http://schemas.openxmlformats.org/officeDocument/2006/relationships/hyperlink" Target="https://us.store.bambulab.com/products/pla-matte?skr=yes&amp;id=41884210233480&amp;modelId=608645" TargetMode="External" Id="rId20"/><Relationship Type="http://schemas.openxmlformats.org/officeDocument/2006/relationships/hyperlink" Target="https://www.canadacomputers.com/en/filaments/230624/creality-cr-pla-matte-filament-1-0kg-1-75mm-matte-grey-cr-pla-matte-mg.html" TargetMode="External" Id="rId21"/><Relationship Type="http://schemas.openxmlformats.org/officeDocument/2006/relationships/hyperlink" Target="https://www.microcenter.com/search/search_results.aspx?sortby=match&amp;fq=Category:Filaments+%26+Resins|754,Material:PLA+&amp;rd=1" TargetMode="External" Id="rId22"/><Relationship Type="http://schemas.openxmlformats.org/officeDocument/2006/relationships/hyperlink" Target="https://overture3d.com/collections/compare-filament/products/overture-matte-pla" TargetMode="External" Id="rId23"/><Relationship Type="http://schemas.openxmlformats.org/officeDocument/2006/relationships/hyperlink" Target="https://overture3d.com/collections/compare-filament/products/overture-matte-pla" TargetMode="External" Id="rId24"/><Relationship Type="http://schemas.openxmlformats.org/officeDocument/2006/relationships/hyperlink" Target="https://store.sunlu.com/collections/matte-pla" TargetMode="External" Id="rId25"/><Relationship Type="http://schemas.openxmlformats.org/officeDocument/2006/relationships/hyperlink" Target="https://www.amazon.com/dp/B0FHDLRHX2/ref=cm_sw_r_as_gl_apa_gl_i_MX2VF5FDPH198V21M2J8" TargetMode="External" Id="rId26"/><Relationship Type="http://schemas.openxmlformats.org/officeDocument/2006/relationships/hyperlink" Target="https://us.store.bambulab.com/products/pla-matte?skr=yes&amp;id=41884210233480&amp;modelId=608645" TargetMode="External" Id="rId27"/><Relationship Type="http://schemas.openxmlformats.org/officeDocument/2006/relationships/hyperlink" Target="https://www.canadacomputers.com/en/filaments/230626/creality-cr-pla-matte-filament-for-fdm-3d-printer-1-0kg-1-75mm-strawb-cr-pla-matte-sr.html" TargetMode="External" Id="rId28"/><Relationship Type="http://schemas.openxmlformats.org/officeDocument/2006/relationships/hyperlink" Target="https://www.microcenter.com/search/search_results.aspx?sortby=match&amp;fq=Category:Filaments+%26+Resins|754,Material:PLA+&amp;rd=1" TargetMode="External" Id="rId29"/><Relationship Type="http://schemas.openxmlformats.org/officeDocument/2006/relationships/hyperlink" Target="https://overture3d.com/collections/compare-filament/products/overture-matte-pla" TargetMode="External" Id="rId30"/><Relationship Type="http://schemas.openxmlformats.org/officeDocument/2006/relationships/hyperlink" Target="https://overture3d.com/collections/compare-filament/products/overture-matte-pla" TargetMode="External" Id="rId31"/><Relationship Type="http://schemas.openxmlformats.org/officeDocument/2006/relationships/hyperlink" Target="https://store.sunlu.com/collections/matte-pla" TargetMode="External" Id="rId32"/><Relationship Type="http://schemas.openxmlformats.org/officeDocument/2006/relationships/hyperlink" Target="https://www.amazon.com/dp/B0FHDLRHX2/ref=cm_sw_r_as_gl_apa_gl_i_MX2VF5FDPH198V21M2J8" TargetMode="External" Id="rId33"/><Relationship Type="http://schemas.openxmlformats.org/officeDocument/2006/relationships/hyperlink" Target="https://us.store.bambulab.com/products/pla-matte?skr=yes&amp;id=41884210233480&amp;modelId=608645" TargetMode="External" Id="rId34"/><Relationship Type="http://schemas.openxmlformats.org/officeDocument/2006/relationships/hyperlink" Target="https://www.adorama.com/creality-1-75-mm-cr-series-pla-matte-filament-3d-printers/p/crp1" TargetMode="External" Id="rId35"/><Relationship Type="http://schemas.openxmlformats.org/officeDocument/2006/relationships/hyperlink" Target="https://www.microcenter.com/search/search_results.aspx?sortby=match&amp;fq=Category:Filaments+%26+Resins|754,Material:PLA+&amp;rd=1" TargetMode="External" Id="rId36"/><Relationship Type="http://schemas.openxmlformats.org/officeDocument/2006/relationships/hyperlink" Target="https://overture3d.com/collections/compare-filament/products/overture-matte-pla" TargetMode="External" Id="rId37"/><Relationship Type="http://schemas.openxmlformats.org/officeDocument/2006/relationships/hyperlink" Target="https://store.sunlu.com/collections/matte-pla" TargetMode="External" Id="rId38"/><Relationship Type="http://schemas.openxmlformats.org/officeDocument/2006/relationships/hyperlink" Target="https://www.amazon.com/dp/B0FHDLRHX2/ref=cm_sw_r_as_gl_apa_gl_i_MX2VF5FDPH198V21M2J8" TargetMode="External" Id="rId39"/><Relationship Type="http://schemas.openxmlformats.org/officeDocument/2006/relationships/hyperlink" Target="https://us.store.bambulab.com/products/pla-matte?skr=yes&amp;id=41884210233480&amp;modelId=608645" TargetMode="External" Id="rId40"/><Relationship Type="http://schemas.openxmlformats.org/officeDocument/2006/relationships/hyperlink" Target="https://www.adorama.com/creality-1-75-mm-cr-series-pla-matte-filament-3d-printers/p/crp1" TargetMode="External" Id="rId41"/><Relationship Type="http://schemas.openxmlformats.org/officeDocument/2006/relationships/hyperlink" Target="https://www.microcenter.com/product/660550/inland-175mm-pla-3d-printer-filament-1kg-(22-lbs)-cardboard-spool-matte-wood-brown?storeid=131" TargetMode="External" Id="rId42"/><Relationship Type="http://schemas.openxmlformats.org/officeDocument/2006/relationships/hyperlink" Target="https://overture3d.com/collections/compare-filament/products/overture-matte-pla" TargetMode="External" Id="rId43"/><Relationship Type="http://schemas.openxmlformats.org/officeDocument/2006/relationships/hyperlink" Target="https://overture3d.com/collections/compare-filament/products/overture-matte-pla" TargetMode="External" Id="rId44"/><Relationship Type="http://schemas.openxmlformats.org/officeDocument/2006/relationships/hyperlink" Target="https://store.sunlu.com/collections/matte-pla" TargetMode="External" Id="rId45"/><Relationship Type="http://schemas.openxmlformats.org/officeDocument/2006/relationships/hyperlink" Target="https://www.amazon.com/dp/B0FHDLRHX2/ref=cm_sw_r_as_gl_apa_gl_i_MX2VF5FDPH198V21M2J8" TargetMode="External" Id="rId46"/><Relationship Type="http://schemas.openxmlformats.org/officeDocument/2006/relationships/hyperlink" Target="https://us.store.bambulab.com/products/pla-matte?skr=yes&amp;id=41884210233480&amp;modelId=608645" TargetMode="External" Id="rId47"/><Relationship Type="http://schemas.openxmlformats.org/officeDocument/2006/relationships/hyperlink" Target="https://www.adorama.com/creality-1-75-mm-cr-series-pla-matte-filament-3d-printers/p/crp1" TargetMode="External" Id="rId48"/><Relationship Type="http://schemas.openxmlformats.org/officeDocument/2006/relationships/hyperlink" Target="https://www.microcenter.com/search/search_results.aspx?sortby=match&amp;fq=Category:Filaments+%26+Resins|754,Material:PLA+&amp;rd=1" TargetMode="External" Id="rId49"/><Relationship Type="http://schemas.openxmlformats.org/officeDocument/2006/relationships/hyperlink" Target="https://overture3d.com/collections/compare-filament/products/overture-matte-pla" TargetMode="External" Id="rId50"/><Relationship Type="http://schemas.openxmlformats.org/officeDocument/2006/relationships/hyperlink" Target="https://store.sunlu.com/collections/matte-pla" TargetMode="External" Id="rId51"/><Relationship Type="http://schemas.openxmlformats.org/officeDocument/2006/relationships/hyperlink" Target="https://www.amazon.com/dp/B0FHDLRHX2/ref=cm_sw_r_as_gl_apa_gl_i_MX2VF5FDPH198V21M2J8" TargetMode="External" Id="rId52"/><Relationship Type="http://schemas.openxmlformats.org/officeDocument/2006/relationships/hyperlink" Target="https://us.store.bambulab.com/products/pla-matte?skr=yes&amp;id=41884210233480&amp;modelId=608645" TargetMode="External" Id="rId53"/><Relationship Type="http://schemas.openxmlformats.org/officeDocument/2006/relationships/hyperlink" Target="https://www.adorama.com/creality-1-75-mm-cr-series-pla-matte-filament-3d-printers/p/crp1" TargetMode="External" Id="rId54"/><Relationship Type="http://schemas.openxmlformats.org/officeDocument/2006/relationships/hyperlink" Target="https://www.microcenter.com/search/search_results.aspx?sortby=match&amp;fq=Category:Filaments+%26+Resins|754,Material:PLA+&amp;rd=1" TargetMode="External" Id="rId55"/><Relationship Type="http://schemas.openxmlformats.org/officeDocument/2006/relationships/hyperlink" Target="https://overture3d.com/collections/compare-filament/products/overture-matte-pla" TargetMode="External" Id="rId56"/><Relationship Type="http://schemas.openxmlformats.org/officeDocument/2006/relationships/hyperlink" Target="https://store.sunlu.com/collections/matte-pla" TargetMode="External" Id="rId57"/><Relationship Type="http://schemas.openxmlformats.org/officeDocument/2006/relationships/hyperlink" Target="https://www.amazon.com/dp/B0FHDLRHX2/ref=cm_sw_r_as_gl_apa_gl_i_MX2VF5FDPH198V21M2J8" TargetMode="External" Id="rId58"/><Relationship Type="http://schemas.openxmlformats.org/officeDocument/2006/relationships/hyperlink" Target="https://us.store.bambulab.com/products/pla-matte?skr=yes&amp;id=41884210233480&amp;modelId=608645" TargetMode="External" Id="rId59"/><Relationship Type="http://schemas.openxmlformats.org/officeDocument/2006/relationships/hyperlink" Target="https://www.adorama.com/creality-1-75-mm-cr-series-pla-matte-filament-3d-printers/p/crp1" TargetMode="External" Id="rId60"/></Relationships>
</file>

<file path=xl/worksheets/_rels/sheet3.xml.rels><Relationships xmlns="http://schemas.openxmlformats.org/package/2006/relationships"><Relationship Type="http://schemas.openxmlformats.org/officeDocument/2006/relationships/hyperlink" Target="https://www.microcenter.com/product/670192/inland-175mm-pla-high-speed-3d-printer-filament-10-kg-(22-lbs)-cardboard-spool-black" TargetMode="External" Id="rId1"/><Relationship Type="http://schemas.openxmlformats.org/officeDocument/2006/relationships/hyperlink" Target="https://www.microcenter.com/product/611552/inland-175mm-pla-3d-printer-filament-10-kg-(22-lbs)-spool-luminous-green" TargetMode="External" Id="rId2"/><Relationship Type="http://schemas.openxmlformats.org/officeDocument/2006/relationships/hyperlink" Target="https://www.amazon.com/dp/B07VGV5VSZ/ref=sr_1_3_pp" TargetMode="External" Id="rId3"/><Relationship Type="http://schemas.openxmlformats.org/officeDocument/2006/relationships/hyperlink" Target="https://www.amazon.com/dp/B07YDN56F2" TargetMode="External" Id="rId4"/><Relationship Type="http://schemas.openxmlformats.org/officeDocument/2006/relationships/hyperlink" Target="https://store.sunlu.com/collections/pla-plus-fliament" TargetMode="External" Id="rId5"/><Relationship Type="http://schemas.openxmlformats.org/officeDocument/2006/relationships/hyperlink" Target="https://store.sunlu.com/collections/pla-plus-fliament" TargetMode="External" Id="rId6"/><Relationship Type="http://schemas.openxmlformats.org/officeDocument/2006/relationships/hyperlink" Target="https://woodartsupply.com/products/elegoo-pla-plus-filament-1-75mm-white-1kg-pla-tougher-and-stronger-3d-printer-filament-pro-dimensional-accuracy-0-02mm-1kg-spool2-2lbs-fits-for-most-fdm-3d-printers" TargetMode="External" Id="rId7"/><Relationship Type="http://schemas.openxmlformats.org/officeDocument/2006/relationships/hyperlink" Target="https://woodartsupply.com/products/elegoo-rapid-pla-plus-filament-1-75mm-white-1kg-pla-3d-printer-filament-for-30-600-mm-s-high-speed-printing-dimensional-accuracy-0-02-mm-1kg-cardboard-spool2-2lbs" TargetMode="External" Id="rId8"/><Relationship Type="http://schemas.openxmlformats.org/officeDocument/2006/relationships/hyperlink" Target="https://us.store.bambulab.com/collections/all-filaments?page=1" TargetMode="External" Id="rId9"/></Relationships>
</file>

<file path=xl/worksheets/_rels/sheet4.xml.rels><Relationships xmlns="http://schemas.openxmlformats.org/package/2006/relationships"><Relationship Type="http://schemas.openxmlformats.org/officeDocument/2006/relationships/hyperlink" Target="https://www.microcenter.com/product/623232/inland-175mm-pla-silk-3d-printer-filament-10-kg-(22-lbs)-spool-gold" TargetMode="External" Id="rId1"/><Relationship Type="http://schemas.openxmlformats.org/officeDocument/2006/relationships/hyperlink" Target="https://www.microcenter.com/product/625952/pla-1.75mm-silk-cyan?storeID=191" TargetMode="External" Id="rId2"/><Relationship Type="http://schemas.openxmlformats.org/officeDocument/2006/relationships/hyperlink" Target="https://www.amazon.com/dp/B087RP8NNZ/ref=cm_sw_r_as_gl_apa_gl_i_NXHHM6KZFY7CDZ03HSAC" TargetMode="External" Id="rId3"/><Relationship Type="http://schemas.openxmlformats.org/officeDocument/2006/relationships/hyperlink" Target="https://www.amazon.com/dp/B099Z351DS/ref=cm_sw_r_as_gl_api_gl_i_7G71CEGD3CD5T25GR8AE" TargetMode="External" Id="rId4"/><Relationship Type="http://schemas.openxmlformats.org/officeDocument/2006/relationships/hyperlink" Target="https://store.sunlu.com/products/silk-pla-plus-v2-3d-printer-filament-1kg-enhanced-silk-shine" TargetMode="External" Id="rId5"/><Relationship Type="http://schemas.openxmlformats.org/officeDocument/2006/relationships/hyperlink" Target="https://us.store.bambulab.com/collections/all-filaments?page=1" TargetMode="External" Id="rId6"/><Relationship Type="http://schemas.openxmlformats.org/officeDocument/2006/relationships/hyperlink" Target="https://us.store.bambulab.com/collections/all-filaments?page=1" TargetMode="External" Id="rId7"/><Relationship Type="http://schemas.openxmlformats.org/officeDocument/2006/relationships/hyperlink" Target="https://picclick.com/Creality-PLA-Filament-175mm-3D-Printer-Filament-CR-Silk-354993427404.html" TargetMode="External" Id="rId8"/></Relationships>
</file>

<file path=xl/worksheets/_rels/sheet5.xml.rels><Relationships xmlns="http://schemas.openxmlformats.org/package/2006/relationships"><Relationship Type="http://schemas.openxmlformats.org/officeDocument/2006/relationships/hyperlink" Target="https://www.microcenter.com/search/search_results.aspx?sortby=match&amp;fq=Category:Filaments+%26+Resins|754,Material:PLA+&amp;rd=1" TargetMode="External" Id="rId1"/><Relationship Type="http://schemas.openxmlformats.org/officeDocument/2006/relationships/hyperlink" Target="https://overture3d.com/products/overture-pla" TargetMode="External" Id="rId2"/><Relationship Type="http://schemas.openxmlformats.org/officeDocument/2006/relationships/hyperlink" Target="https://store.sunlu.com/collections/sunlu-12th-anniversary-prime-deal-basic-filament-series-pla-petg-abs-1kg" TargetMode="External" Id="rId3"/><Relationship Type="http://schemas.openxmlformats.org/officeDocument/2006/relationships/hyperlink" Target="https://www.amazon.com/dp/B0BM739JRF/ref=cm_sw_r_as_gl_api_gl_i_XXKRFV2PY1X5C4A8E2FH" TargetMode="External" Id="rId4"/><Relationship Type="http://schemas.openxmlformats.org/officeDocument/2006/relationships/hyperlink" Target="https://us.store.bambulab.com/products/pla-basic-filament?skr=yes&amp;id=43045596921992&amp;modelId=1810830" TargetMode="External" Id="rId5"/><Relationship Type="http://schemas.openxmlformats.org/officeDocument/2006/relationships/hyperlink" Target="https://us.store.bambulab.com/products/pla-basic-filament?skr=yes&amp;id=43045596921992&amp;modelId=1810830" TargetMode="External" Id="rId6"/><Relationship Type="http://schemas.openxmlformats.org/officeDocument/2006/relationships/hyperlink" Target="https://www.bhphotovideo.com/c/product/1763773-REG/creality_ender_pla_white_ender_pla_1_75mm_1kg_filament.html" TargetMode="External" Id="rId7"/><Relationship Type="http://schemas.openxmlformats.org/officeDocument/2006/relationships/hyperlink" Target="https://store.creality.com/products/hyper-series-pla-3d-printing-filament-1kg?spm=..page_2159625.header_1.1" TargetMode="External" Id="rId8"/></Relationships>
</file>

<file path=xl/worksheets/_rels/sheet6.xml.rels><Relationships xmlns="http://schemas.openxmlformats.org/package/2006/relationships"><Relationship Type="http://schemas.openxmlformats.org/officeDocument/2006/relationships/hyperlink" Target="https://www.microcenter.com/search/search_results.aspx?sortby=match&amp;fq=Category:Filaments+%26+Resins|754,Material:PLA+&amp;rd=1" TargetMode="External" Id="rId1"/><Relationship Type="http://schemas.openxmlformats.org/officeDocument/2006/relationships/hyperlink" Target="https://overture3d.com/products/overture-high-speed-tpu-3d-printer-filament-1-75mm" TargetMode="External" Id="rId2"/><Relationship Type="http://schemas.openxmlformats.org/officeDocument/2006/relationships/hyperlink" Target="https://store.sunlu.com/products/moq-3kg-tpu-3d-printer-filament-1kg" TargetMode="External" Id="rId3"/><Relationship Type="http://schemas.openxmlformats.org/officeDocument/2006/relationships/hyperlink" Target="https://store.sunlu.com/products/1-75mm-sunlu-tpu-silk-3d-printer-filament-1kg-roll" TargetMode="External" Id="rId4"/><Relationship Type="http://schemas.openxmlformats.org/officeDocument/2006/relationships/hyperlink" Target="https://us.store.bambulab.com/collections/all-filaments?page=1" TargetMode="External" Id="rId5"/><Relationship Type="http://schemas.openxmlformats.org/officeDocument/2006/relationships/hyperlink" Target="https://us.store.bambulab.com/collections/all-filaments?page=1" TargetMode="External" Id="rId6"/></Relationships>
</file>

<file path=xl/worksheets/_rels/sheet7.xml.rels><Relationships xmlns="http://schemas.openxmlformats.org/package/2006/relationships"><Relationship Type="http://schemas.openxmlformats.org/officeDocument/2006/relationships/hyperlink" Target="https://www.microcenter.com/product/503782/inland-175mm-petg-3d-printer-filament-1kg-(22-lbs)-cardboard-spool-green" TargetMode="External" Id="rId1"/><Relationship Type="http://schemas.openxmlformats.org/officeDocument/2006/relationships/hyperlink" Target="https://overture3d.com/products/overture-petg" TargetMode="External" Id="rId2"/><Relationship Type="http://schemas.openxmlformats.org/officeDocument/2006/relationships/hyperlink" Target="https://store.sunlu.com/collections/sunlu-12th-anniversary-prime-deal-basic-filament-series-pla-petg-abs-1kg" TargetMode="External" Id="rId3"/><Relationship Type="http://schemas.openxmlformats.org/officeDocument/2006/relationships/hyperlink" Target="https://us.store.bambulab.com/collections/all-filaments?page=1" TargetMode="External" Id="rId4"/><Relationship Type="http://schemas.openxmlformats.org/officeDocument/2006/relationships/hyperlink" Target="https://us.store.bambulab.com/collections/all-filaments?page=1" TargetMode="External" Id="rId5"/></Relationships>
</file>

<file path=xl/worksheets/_rels/sheet8.xml.rels><Relationships xmlns="http://schemas.openxmlformats.org/package/2006/relationships"><Relationship Type="http://schemas.openxmlformats.org/officeDocument/2006/relationships/hyperlink" Target="https://www.microcenter.com/search/search_results.aspx?sortby=match&amp;fq=Category:Filaments+%26+Resins|754,Material:PLA+&amp;rd=1" TargetMode="External" Id="rId1"/><Relationship Type="http://schemas.openxmlformats.org/officeDocument/2006/relationships/hyperlink" Target="https://overture3d.com/products/overture-asa-filament-1-75mm" TargetMode="External" Id="rId2"/><Relationship Type="http://schemas.openxmlformats.org/officeDocument/2006/relationships/hyperlink" Target="https://store.sunlu.com/collections/sunlu-12th-anniversary-prime-deal-basic-filament-series-pla-petg-abs-1kg" TargetMode="External" Id="rId3"/><Relationship Type="http://schemas.openxmlformats.org/officeDocument/2006/relationships/hyperlink" Target="https://us.store.bambulab.com/collections/all-filaments?page=1" TargetMode="External" Id="rId4"/><Relationship Type="http://schemas.openxmlformats.org/officeDocument/2006/relationships/hyperlink" Target="https://us.store.bambulab.com/collections/all-filaments?page=1" TargetMode="External" Id="rId5"/></Relationships>
</file>

<file path=xl/worksheets/_rels/sheet9.xml.rels><Relationships xmlns="http://schemas.openxmlformats.org/package/2006/relationships"><Relationship Type="http://schemas.openxmlformats.org/officeDocument/2006/relationships/hyperlink" Target="https://store.sunlu.com/collections/pla-plus-fliament" TargetMode="External" Id="rId1"/><Relationship Type="http://schemas.openxmlformats.org/officeDocument/2006/relationships/hyperlink" Target="https://store.sunlu.com/products/sunlu-pla-metallic-3d-filament-1kg" TargetMode="External" Id="rId2"/><Relationship Type="http://schemas.openxmlformats.org/officeDocument/2006/relationships/hyperlink" Target="https://us.store.bambulab.com/collections/all-filaments?page=1" TargetMode="External" Id="rId3"/><Relationship Type="http://schemas.openxmlformats.org/officeDocument/2006/relationships/hyperlink" Target="https://us.store.bambulab.com/collections/all-filaments?page=1" TargetMode="External" Id="rId4"/><Relationship Type="http://schemas.openxmlformats.org/officeDocument/2006/relationships/hyperlink" Target="https://www.microcenter.com/search/search_results.aspx?sortby=match&amp;fq=Category:Filaments+%26+Resins|754,Material:PLA+&amp;rd=1" TargetMode="External" Id="rId5"/></Relationships>
</file>

<file path=xl/worksheets/sheet1.xml><?xml version="1.0" encoding="utf-8"?>
<worksheet xmlns="http://schemas.openxmlformats.org/spreadsheetml/2006/main">
  <sheetPr>
    <tabColor rgb="001F3864"/>
    <outlinePr summaryBelow="1" summaryRight="1"/>
    <pageSetUpPr fitToPage="1"/>
  </sheetPr>
  <dimension ref="A1:B39"/>
  <sheetViews>
    <sheetView zoomScale="85" workbookViewId="0">
      <selection activeCell="A1" sqref="A1"/>
    </sheetView>
  </sheetViews>
  <sheetFormatPr baseColWidth="8" defaultRowHeight="15"/>
  <cols>
    <col width="34" customWidth="1" min="1" max="1"/>
    <col width="96" customWidth="1" min="2" max="2"/>
  </cols>
  <sheetData>
    <row r="1">
      <c r="A1" s="1" t="inlineStr">
        <is>
          <t>Filament Pricing — Overview</t>
        </is>
      </c>
    </row>
    <row r="2" ht="58" customHeight="1">
      <c r="A2" s="2" t="inlineStr">
        <is>
          <t>NEW (2026-10-11): every data sheet now has a Buy at / under threshold with a green star BUY NOW flag, plus a Delivered / spool cost that factors in shipping — so a cheap spool with pricey shipping no longer looks like a deal. Layout is otherwise unchanged: matte colours are sections on ONE 'Matte PLA' sheet, tab names are short, and all prices, notes and sources are the same as before — nothing was re-priced in this pass. All rows checked 2026-10-11.</t>
        </is>
      </c>
    </row>
    <row r="3"/>
    <row r="4">
      <c r="A4" s="3" t="inlineStr">
        <is>
          <t>JUMP TO — click a name</t>
        </is>
      </c>
      <c r="B4" s="3" t="inlineStr">
        <is>
          <t>Cheapest today (details on the sheet)</t>
        </is>
      </c>
    </row>
    <row r="5" ht="20" customHeight="1">
      <c r="A5" s="4" t="inlineStr">
        <is>
          <t>Matte PLA — White</t>
        </is>
      </c>
      <c r="B5" s="5" t="inlineStr">
        <is>
          <t>Inland Matte White $13.99 in stock at Micro Center</t>
        </is>
      </c>
    </row>
    <row r="6" ht="20" customHeight="1">
      <c r="A6" s="4" t="inlineStr">
        <is>
          <t>Matte PLA — Black</t>
        </is>
      </c>
      <c r="B6" s="5" t="inlineStr">
        <is>
          <t>Inland $13.99; Elegoo Black &amp; Slate Gray 2-pack = $12.82/spool</t>
        </is>
      </c>
    </row>
    <row r="7" ht="20" customHeight="1">
      <c r="A7" s="4" t="inlineStr">
        <is>
          <t>Matte PLA — Grey</t>
        </is>
      </c>
      <c r="B7" s="5" t="inlineStr">
        <is>
          <t>Inland $13.99</t>
        </is>
      </c>
    </row>
    <row r="8" ht="20" customHeight="1">
      <c r="A8" s="4" t="inlineStr">
        <is>
          <t>Matte PLA — Red</t>
        </is>
      </c>
      <c r="B8" s="5" t="inlineStr">
        <is>
          <t>Inland $13.99 (Overture plain Red sold out)</t>
        </is>
      </c>
    </row>
    <row r="9" ht="20" customHeight="1">
      <c r="A9" s="4" t="inlineStr">
        <is>
          <t>Matte PLA — Blue</t>
        </is>
      </c>
      <c r="B9" s="5" t="inlineStr">
        <is>
          <t>Inland $13.99 where the shade exists; Bambu has the widest range at $19.99 refill</t>
        </is>
      </c>
    </row>
    <row r="10" ht="20" customHeight="1">
      <c r="A10" s="4" t="inlineStr">
        <is>
          <t>Matte PLA — Green</t>
        </is>
      </c>
      <c r="B10" s="5" t="inlineStr">
        <is>
          <t>Inland $13.99; Overture and Bambu each offer 3+ greens</t>
        </is>
      </c>
    </row>
    <row r="11" ht="20" customHeight="1">
      <c r="A11" s="4" t="inlineStr">
        <is>
          <t>Matte PLA — Brown &amp; Tan</t>
        </is>
      </c>
      <c r="B11" s="5" t="inlineStr">
        <is>
          <t>Inland Matte Wood Brown $13.99; Overture Chocolate $16.99</t>
        </is>
      </c>
    </row>
    <row r="12" ht="20" customHeight="1">
      <c r="A12" s="4" t="inlineStr">
        <is>
          <t>Matte PLA — Yellow &amp; Orange</t>
        </is>
      </c>
      <c r="B12" s="5" t="inlineStr">
        <is>
          <t>Inland Matte Banana / Matte Orange $13.99</t>
        </is>
      </c>
    </row>
    <row r="13" ht="20" customHeight="1">
      <c r="A13" s="4" t="inlineStr">
        <is>
          <t>Matte PLA — Pink &amp; Purple</t>
        </is>
      </c>
      <c r="B13" s="5" t="inlineStr">
        <is>
          <t>Overture Pink / Baby Pink / Purple / Lilac $18.99</t>
        </is>
      </c>
    </row>
    <row r="14" ht="20" customHeight="1">
      <c r="A14" s="4" t="inlineStr">
        <is>
          <t>PLA+</t>
        </is>
      </c>
      <c r="B14" s="5" t="inlineStr">
        <is>
          <t>SUNLU PLA+ from $10.69</t>
        </is>
      </c>
    </row>
    <row r="15" ht="20" customHeight="1">
      <c r="A15" s="4" t="inlineStr">
        <is>
          <t>Silk (Silk PLA)</t>
        </is>
      </c>
      <c r="B15" s="5" t="inlineStr">
        <is>
          <t>SUNLU SILK PLA+ 2.0 $14.99; Inland Silk Gold $15.99</t>
        </is>
      </c>
    </row>
    <row r="16" ht="20" customHeight="1">
      <c r="A16" s="4" t="inlineStr">
        <is>
          <t>Regular (Regular PLA)</t>
        </is>
      </c>
      <c r="B16" s="5" t="inlineStr">
        <is>
          <t>SUNLU from $10.59; Creality Ender White $13.29</t>
        </is>
      </c>
    </row>
    <row r="17" ht="20" customHeight="1">
      <c r="A17" s="4" t="inlineStr">
        <is>
          <t>TPU</t>
        </is>
      </c>
      <c r="B17" s="5" t="inlineStr">
        <is>
          <t>SUNLU TPU-SILK $17.99 single; SUNLU TPU from $14.99/roll on a 3-roll-minimum listing</t>
        </is>
      </c>
    </row>
    <row r="18" ht="20" customHeight="1">
      <c r="A18" s="4" t="inlineStr">
        <is>
          <t>PETG</t>
        </is>
      </c>
      <c r="B18" s="5" t="inlineStr">
        <is>
          <t>SUNLU from $10.49; Inland &amp; Overture $14.99</t>
        </is>
      </c>
    </row>
    <row r="19" ht="20" customHeight="1">
      <c r="A19" s="4" t="inlineStr">
        <is>
          <t>ABS-ASA (ABS &amp; ASA)</t>
        </is>
      </c>
      <c r="B19" s="5" t="inlineStr">
        <is>
          <t>SUNLU ABS $11.99; Overture ASA Black $19.99</t>
        </is>
      </c>
    </row>
    <row r="20" ht="20" customHeight="1">
      <c r="A20" s="4" t="inlineStr">
        <is>
          <t>Specialty</t>
        </is>
      </c>
      <c r="B20" s="5" t="inlineStr">
        <is>
          <t>SUNLU Galaxy PLA from $15.99; Bambu specialty PLA family $24.99</t>
        </is>
      </c>
    </row>
    <row r="21" ht="20" customHeight="1">
      <c r="A21" s="4" t="inlineStr">
        <is>
          <t>History</t>
        </is>
      </c>
      <c r="B21" s="5" t="inlineStr">
        <is>
          <t>Every past price check, newest first</t>
        </is>
      </c>
    </row>
    <row r="22" ht="20" customHeight="1">
      <c r="A22" s="4" t="inlineStr">
        <is>
          <t>How to Use</t>
        </is>
      </c>
      <c r="B22" s="5" t="inlineStr">
        <is>
          <t>Legend, shade names, bundles, known gaps and sources</t>
        </is>
      </c>
    </row>
    <row r="23"/>
    <row r="24" ht="62" customHeight="1">
      <c r="A24" s="6" t="inlineStr">
        <is>
          <t>What changed (2026-10-11)</t>
        </is>
      </c>
      <c r="B24" s="7" t="inlineStr">
        <is>
          <t>Layout only: the 9 matte colour tabs became sections on one Matte PLA sheet (White, Black, Grey, Red, Blue, Green, Brown &amp; Tan, Yellow &amp; Orange, Pink &amp; Purple), tab names were shortened, and every data sheet was compressed from 12 wide columns to 9 compact ones. Brands are still SIX on every sheet: Inland, Overture, SUNLU, Elegoo, Bambu Lab, Creality.</t>
        </is>
      </c>
    </row>
    <row r="25" ht="62" customHeight="1">
      <c r="A25" s="6" t="inlineStr">
        <is>
          <t>How to use it</t>
        </is>
      </c>
      <c r="B25" s="7" t="inlineStr">
        <is>
          <t>Use the jump links above: pick a colour section on the Matte PLA sheet, or a type tab, and read across for price / where / stock — then check the Deal? column: a green ★ BUY NOW means the delivered per-spool cost (shipping included) is at or under that row's buy threshold. White is still the main colour bought. The Friday watcher updates the Matte PLA sections and the type tabs, not just White.</t>
        </is>
      </c>
    </row>
    <row r="26" ht="62" customHeight="1">
      <c r="A26" s="6" t="inlineStr">
        <is>
          <t>Cheapest per colour (today)</t>
        </is>
      </c>
      <c r="B26" s="7" t="inlineStr">
        <is>
          <t>White: Inland $13.99 in stock. Black: Inland $13.99 (Elegoo 2-pack = $12.82/spool). Grey: Inland $13.99. Red: Inland $13.99 (Overture plain Red sold out). Blue/Green/Brown/Yellow/Pink: Inland matte line is $13.99 where that shade exists — its range is narrower, so Overture ($16.99–$18.99) and Bambu ($19.99 refill) are the fallbacks with the widest colour ranges.</t>
        </is>
      </c>
    </row>
    <row r="27" ht="62" customHeight="1">
      <c r="A27" s="6" t="inlineStr">
        <is>
          <t>Bambu Lab — how pricing works</t>
        </is>
      </c>
      <c r="B27" s="7" t="inlineStr">
        <is>
          <t>PLA Matte is one price for every colour: $19.99 for a 1kg refill, $22.99 with spool, on the Bambu Lab US Store. RFID tag works with AMS on the P1S. Bulk buys on Bambu's store drop the per-roll price — check the store at order time.</t>
        </is>
      </c>
    </row>
    <row r="28" ht="62" customHeight="1">
      <c r="A28" s="6" t="inlineStr">
        <is>
          <t>Creality — honest gap</t>
        </is>
      </c>
      <c r="B28" s="7" t="inlineStr">
        <is>
          <t>Creality CR-PLA Matte exists in Gypsum White, Matte Black, Matte Grey, Strawberry Red, Navy Blue and Avocado Green. Retail examples found were $19.99 CAD at Canada Computers, so US single-spool prices are left BLANK rather than guessed. The Friday watcher should try Creality's US store / Amazon US next.</t>
        </is>
      </c>
    </row>
    <row r="29" ht="62" customHeight="1">
      <c r="A29" s="6" t="inlineStr">
        <is>
          <t>Elegoo — honest gap</t>
        </is>
      </c>
      <c r="B29" s="7" t="inlineStr">
        <is>
          <t>Elegoo matte is mainly Amazon bundles/refills, not single spools on its US store. Per-spool maths is in Notes wherever a bundle price is shown.</t>
        </is>
      </c>
    </row>
    <row r="30" ht="62" customHeight="1">
      <c r="A30" s="6" t="inlineStr">
        <is>
          <t>Watcher</t>
        </is>
      </c>
      <c r="B30" s="7" t="inlineStr">
        <is>
          <t>Friday filament-price watcher: checks Amazon + Overture, SUNLU, Elegoo, Bambu Lab and Creality stores + Micro Center, updates the Matte PLA sheet and the type tabs, and appends old prices to History. When it updates a price it must keep that row's Shipping $, Spools, threshold and formulas intact, and fill them in on any new row. Nothing is ordered automatically.</t>
        </is>
      </c>
    </row>
    <row r="31" ht="62" customHeight="1">
      <c r="A31" s="6" t="inlineStr">
        <is>
          <t>NEW — filament types (2026-10-11)</t>
        </is>
      </c>
      <c r="B31" s="7" t="inlineStr">
        <is>
          <t>The sheet is not Matte PLA only. Matte keeps its full per-colour sections on the Matte PLA sheet, and 7 tabs are split by TYPE: PLA+, Silk, Regular, TPU, PETG, ABS-ASA, and Specialty (high-speed, wood, marble, metallic, glow, gradient, carbon-fibre). Same six brands on every type tab: Inland, Overture, SUNLU, Elegoo, Bambu Lab, Creality.</t>
        </is>
      </c>
    </row>
    <row r="32" ht="62" customHeight="1">
      <c r="A32" s="6" t="inlineStr">
        <is>
          <t>How the type tabs work</t>
        </is>
      </c>
      <c r="B32" s="7" t="inlineStr">
        <is>
          <t>Type tabs are NOT split by colour (that would be hundreds of rows) — each row is one brand + one type, in a representative colour (mostly White/Black/core shades), with the colour range named in the row. For a specific colour in Matte, use the Matte PLA sheet; for anything else, start on the type tab.</t>
        </is>
      </c>
    </row>
    <row r="33" ht="62" customHeight="1">
      <c r="A33" s="6" t="inlineStr">
        <is>
          <t>Cheapest per new type (today)</t>
        </is>
      </c>
      <c r="B33" s="7" t="inlineStr">
        <is>
          <t>PLA+: SUNLU from $10.69. Silk: SUNLU SILK PLA+ 2.0 $14.99 / Inland Silk Gold $15.99. Regular PLA: SUNLU from $10.59 / Creality Ender White $13.29. TPU: SUNLU from $14.99/roll (3-roll minimum listing) / SUNLU TPU-SILK $17.99 single. PETG: SUNLU from $10.49 / Inland &amp; Overture $14.99. ABS: SUNLU $11.99. ASA: Overture Black $19.99.</t>
        </is>
      </c>
    </row>
    <row r="34" ht="62" customHeight="1">
      <c r="A34" s="6" t="inlineStr">
        <is>
          <t>Still the main buy</t>
        </is>
      </c>
      <c r="B34" s="7" t="inlineStr">
        <is>
          <t>Matte PLA White is still Scott's main filament — its section prices did not change in this layout edit. The other types are tracked for comparison and one-off jobs; nothing is ordered automatically.</t>
        </is>
      </c>
    </row>
    <row r="35" ht="62" customHeight="1">
      <c r="A35" s="6" t="inlineStr">
        <is>
          <t>Honest gaps — new types</t>
        </is>
      </c>
      <c r="B35" s="7" t="inlineStr">
        <is>
          <t>Creality US prices for PLA+, Silk, TPU, PETG, ABS/ASA and specialty lines were not verified (its Hyper PLA on the Regular tab IS verified at $19.99), and several Elegoo / Inland non-matte prices are bundle-only or unverified. Those cells are blank on purpose, with what was found written in Notes.</t>
        </is>
      </c>
    </row>
    <row r="36" ht="62" customHeight="1">
      <c r="A36" s="6" t="inlineStr">
        <is>
          <t>Watcher — ACTION NEEDED</t>
        </is>
      </c>
      <c r="B36" s="7" t="inlineStr">
        <is>
          <t>The Friday watcher instructions still say 'MATTE PLA only'. They need Scott's OK to expand to: matte (per colour, as now) PLUS the 7 type tabs — update each type tab's Current Price / stock / Date Checked, append changed prices to Price History, and apply the same alert idea per type (flag a type-tab price drop, or SUNLU PLA+/PETG/regular at or under ~$11, Inland non-matte at or under ~$15, Overture non-matte at or under ~$17). Until Scott approves that change, the type tabs are a one-off snapshot dated 2026-10-11.</t>
        </is>
      </c>
    </row>
    <row r="37"/>
    <row r="38" ht="62" customHeight="1">
      <c r="A38" s="6" t="inlineStr">
        <is>
          <t>NEW — Deal flag (2026-10-11)</t>
        </is>
      </c>
      <c r="B38" s="7" t="inlineStr">
        <is>
          <t>Each data row now carries a 'Buy at / under ($/spool)' threshold and a 'Deal?' flag. When the Delivered / spool cost is at or under the threshold AND the listing is in stock, Deal? shows a green ★ BUY NOW; otherwise '—'. Out-of-stock rows show '— (out of stock)' and never flag, however cheap. Thresholds are starting defaults set per type + brand (e.g. Matte: SUNLU/Inland $15, Overture $19, Bambu refill $20; PLA+ SUNLU $13; TPU SUNLU $18) — edit any threshold cell and the flag recalculates.</t>
        </is>
      </c>
    </row>
    <row r="39" ht="62" customHeight="1">
      <c r="A39" s="6" t="inlineStr">
        <is>
          <t>NEW — Delivered cost (2026-10-11)</t>
        </is>
      </c>
      <c r="B39" s="7" t="inlineStr">
        <is>
          <t>Delivered / spool = (Price + Shipping) / Spools. Shipping $ starts at $0 on every row (Micro Center pickup, Amazon Prime / free-shipping default) — it is a calculator input, not a verified shipping quote: if a checkout charges shipping, type that amount into the row's Shipping $ cell and Delivered / spool and the Deal? flag update automatically. Spools is 1 except on bundle listings, where the bundle total is divided by the pack size (Elegoo Matte 4-pack $47.46 / 4 = $11.87/spool).</t>
        </is>
      </c>
    </row>
  </sheetData>
  <mergeCells count="2">
    <mergeCell ref="A2:B2"/>
    <mergeCell ref="A1:B1"/>
  </mergeCells>
  <hyperlinks>
    <hyperlink ref="A5" location="'Matte PLA'!A4" display="Matte PLA — White"/>
    <hyperlink ref="A6" location="'Matte PLA'!A15" display="Matte PLA — Black"/>
    <hyperlink ref="A7" location="'Matte PLA'!A23" display="Matte PLA — Grey"/>
    <hyperlink ref="A8" location="'Matte PLA'!A31" display="Matte PLA — Red"/>
    <hyperlink ref="A9" location="'Matte PLA'!A40" display="Matte PLA — Blue"/>
    <hyperlink ref="A10" location="'Matte PLA'!A49" display="Matte PLA — Green"/>
    <hyperlink ref="A11" location="'Matte PLA'!A57" display="Matte PLA — Brown &amp; Tan"/>
    <hyperlink ref="A12" location="'Matte PLA'!A66" display="Matte PLA — Yellow &amp; Orange"/>
    <hyperlink ref="A13" location="'Matte PLA'!A74" display="Matte PLA — Pink &amp; Purple"/>
    <hyperlink ref="A14" location="'PLA+'!A1" display="PLA+"/>
    <hyperlink ref="A15" location="'Silk'!A1" display="Silk (Silk PLA)"/>
    <hyperlink ref="A16" location="'Regular'!A1" display="Regular (Regular PLA)"/>
    <hyperlink ref="A17" location="'TPU'!A1" display="TPU"/>
    <hyperlink ref="A18" location="'PETG'!A1" display="PETG"/>
    <hyperlink ref="A19" location="'ABS-ASA'!A1" display="ABS-ASA (ABS &amp; ASA)"/>
    <hyperlink ref="A20" location="'Specialty'!A1" display="Specialty"/>
    <hyperlink ref="A21" location="'History'!A1" display="History"/>
    <hyperlink ref="A22" location="'How to Use'!A1" display="How to Use"/>
  </hyperlinks>
  <pageMargins left="0.75" right="0.75" top="1" bottom="1" header="0.5" footer="0.5"/>
  <pageSetup fitToWidth="1"/>
</worksheet>
</file>

<file path=xl/worksheets/sheet2.xml><?xml version="1.0" encoding="utf-8"?>
<worksheet xmlns="http://schemas.openxmlformats.org/spreadsheetml/2006/main">
  <sheetPr>
    <tabColor rgb="00FFC000"/>
    <outlinePr summaryBelow="1" summaryRight="1"/>
    <pageSetUpPr fitToPage="1"/>
  </sheetPr>
  <dimension ref="A1:N81"/>
  <sheetViews>
    <sheetView zoomScale="85" workbookViewId="0">
      <pane ySplit="3" topLeftCell="A4" activePane="bottomLeft" state="frozen"/>
      <selection pane="bottomLeft" activeCell="A1" sqref="A1"/>
    </sheetView>
  </sheetViews>
  <sheetFormatPr baseColWidth="8" defaultRowHeight="15"/>
  <cols>
    <col width="13" customWidth="1" min="1" max="1"/>
    <col width="24" customWidth="1" min="2" max="2"/>
    <col width="12" customWidth="1" min="3" max="3"/>
    <col width="9" customWidth="1" min="4" max="4"/>
    <col width="9" customWidth="1" min="5" max="5"/>
    <col width="13" customWidth="1" min="6" max="6"/>
    <col width="20" customWidth="1" min="7" max="7"/>
    <col width="6" customWidth="1" min="8" max="8"/>
    <col width="9" customWidth="1" min="9" max="9"/>
    <col width="7" customWidth="1" min="10" max="10"/>
    <col width="11" customWidth="1" min="11" max="11"/>
    <col width="11" customWidth="1" min="12" max="12"/>
    <col width="12" customWidth="1" min="13" max="13"/>
    <col width="28" customWidth="1" min="14" max="14"/>
  </cols>
  <sheetData>
    <row r="1">
      <c r="A1" s="8" t="inlineStr">
        <is>
          <t>Filament Pricing — Matte PLA (all colours, one sheet)</t>
        </is>
      </c>
    </row>
    <row r="2" ht="62" customHeight="1">
      <c r="A2" s="2" t="inlineStr">
        <is>
          <t>Matte PLA only — not regular/glossy, PLA+ or high-speed. 1.75mm, 1kg single spool unless Notes say bundle / refill / minimum order. All rows checked 2026-10-11 (Amazon + brand stores + Micro Center). Compact layout: Savings shows $ and % in one column, the source is the short 'Open' link, and stock is shown together with Where to Buy. Colours are sections on this one sheet (jump links are on the Overview tab) instead of nine separate tabs. NEW columns: Shipping $ (starts at $0 — pickup / Prime / free-shipping default; type the real shipping charge for an order and the rest updates), Spools, Delivered / spool = (Price + Shipping) / Spools, Buy at / under threshold, and a Deal? flag — a green star BUY NOW means the delivered per-spool cost is at or under the threshold (out-of-stock rows never flag). Thresholds and Shipping are editable — see How to Use.</t>
        </is>
      </c>
    </row>
    <row r="3" ht="30" customHeight="1">
      <c r="A3" s="9" t="inlineStr">
        <is>
          <t>Brand</t>
        </is>
      </c>
      <c r="B3" s="9" t="inlineStr">
        <is>
          <t>Product</t>
        </is>
      </c>
      <c r="C3" s="9" t="inlineStr">
        <is>
          <t>Colour / Shade</t>
        </is>
      </c>
      <c r="D3" s="9" t="inlineStr">
        <is>
          <t>Price ($)</t>
        </is>
      </c>
      <c r="E3" s="9" t="inlineStr">
        <is>
          <t>List ($)</t>
        </is>
      </c>
      <c r="F3" s="9" t="inlineStr">
        <is>
          <t>Savings</t>
        </is>
      </c>
      <c r="G3" s="9" t="inlineStr">
        <is>
          <t>Where to Buy / Stock</t>
        </is>
      </c>
      <c r="H3" s="9" t="inlineStr">
        <is>
          <t>Link</t>
        </is>
      </c>
      <c r="I3" s="9" t="inlineStr">
        <is>
          <t>Shipping ($)</t>
        </is>
      </c>
      <c r="J3" s="9" t="inlineStr">
        <is>
          <t>Spools</t>
        </is>
      </c>
      <c r="K3" s="9" t="inlineStr">
        <is>
          <t>Delivered / spool ($)</t>
        </is>
      </c>
      <c r="L3" s="9" t="inlineStr">
        <is>
          <t>Buy at / under ($/spool)</t>
        </is>
      </c>
      <c r="M3" s="9" t="inlineStr">
        <is>
          <t>Deal?</t>
        </is>
      </c>
      <c r="N3" s="9" t="inlineStr">
        <is>
          <t>Notes</t>
        </is>
      </c>
    </row>
    <row r="4" ht="22" customHeight="1">
      <c r="A4" s="10" t="inlineStr">
        <is>
          <t>MATTE — WHITE  (9 listings)</t>
        </is>
      </c>
      <c r="B4" s="24" t="n"/>
      <c r="C4" s="24" t="n"/>
      <c r="D4" s="24" t="n"/>
      <c r="E4" s="24" t="n"/>
      <c r="F4" s="24" t="n"/>
      <c r="G4" s="24" t="n"/>
      <c r="H4" s="24" t="n"/>
      <c r="I4" s="24" t="n"/>
      <c r="J4" s="24" t="n"/>
      <c r="K4" s="24" t="n"/>
      <c r="L4" s="24" t="n"/>
      <c r="M4" s="24" t="n"/>
      <c r="N4" s="25" t="n"/>
    </row>
    <row r="5" ht="36" customHeight="1">
      <c r="A5" s="12" t="inlineStr">
        <is>
          <t>CHEAPEST IN STOCK (White): Inland Matte White $13.99 at Micro Center. Bambu Lab and Creality are NEW on this sheet — Bambu PLA Matte is $19.99 refill / $22.99 with spool in every colour; Creality CR-PLA Matte US pricing was not verified, so its price cells are blank on purpose.</t>
        </is>
      </c>
      <c r="B5" s="24" t="n"/>
      <c r="C5" s="24" t="n"/>
      <c r="D5" s="24" t="n"/>
      <c r="E5" s="24" t="n"/>
      <c r="F5" s="24" t="n"/>
      <c r="G5" s="24" t="n"/>
      <c r="H5" s="24" t="n"/>
      <c r="I5" s="24" t="n"/>
      <c r="J5" s="24" t="n"/>
      <c r="K5" s="24" t="n"/>
      <c r="L5" s="24" t="n"/>
      <c r="M5" s="24" t="n"/>
      <c r="N5" s="25" t="n"/>
    </row>
    <row r="6" ht="60" customHeight="1">
      <c r="A6" s="14" t="inlineStr">
        <is>
          <t>Inland (Micro Center)</t>
        </is>
      </c>
      <c r="B6" s="14" t="inlineStr">
        <is>
          <t>Inland Matte PLA 1.75mm, 1kg Cardboard Spool</t>
        </is>
      </c>
      <c r="C6" s="14" t="inlineStr">
        <is>
          <t>Matte White</t>
        </is>
      </c>
      <c r="D6" s="15" t="n">
        <v>13.99</v>
      </c>
      <c r="E6" s="15" t="n"/>
      <c r="F6" s="16" t="str">
        <f>IF(OR(D6="",E6=""),"",TEXT(E6-D6,"$0.00")&amp;" ("&amp;TEXT(IF(E6=0,0,1-D6/E6),"0%")&amp;")")</f>
        <v/>
      </c>
      <c r="G6" s="17" t="inlineStr">
        <is>
          <t>Micro Center — In stock — listed</t>
        </is>
      </c>
      <c r="H6" s="18" t="inlineStr">
        <is>
          <t>Open</t>
        </is>
      </c>
      <c r="I6" s="26" t="n">
        <v>0</v>
      </c>
      <c r="J6" s="27" t="n">
        <v>1</v>
      </c>
      <c r="K6" s="26" t="n">
        <f>IF(OR(D6="",J6=""),"",(D6+IF(I6="",0,I6))/J6)</f>
        <v>13.99</v>
      </c>
      <c r="L6" s="26" t="n">
        <v>15</v>
      </c>
      <c r="M6" s="27" t="str">
        <f>IF(OR(K6="",L6=""),"",IF(IFERROR(SEARCH("Out of stock",G6),0)&gt;0,"— (out of stock)",IF(K6&lt;=L6,"★ BUY NOW","—")))</f>
        <v>★ BUY NOW</v>
      </c>
      <c r="N6" s="14" t="inlineStr">
        <is>
          <t>Cheapest verified in-stock single spool of Matte White. SKU 642922. Check Indianapolis store stock before a trip.</t>
        </is>
      </c>
    </row>
    <row r="7" ht="30" customHeight="1">
      <c r="A7" s="14" t="inlineStr">
        <is>
          <t>Overture</t>
        </is>
      </c>
      <c r="B7" s="14" t="inlineStr">
        <is>
          <t>OVERTURE Matte PLA 1.75mm, 1kg</t>
        </is>
      </c>
      <c r="C7" s="14" t="inlineStr">
        <is>
          <t>White</t>
        </is>
      </c>
      <c r="D7" s="15" t="n">
        <v>18.69</v>
      </c>
      <c r="E7" s="15" t="n">
        <v>23.99</v>
      </c>
      <c r="F7" s="16" t="str">
        <f>IF(OR(D7="",E7=""),"",TEXT(E7-D7,"$0.00")&amp;" ("&amp;TEXT(IF(E7=0,0,1-D7/E7),"0%")&amp;")")</f>
        <v>$5.30 (22%)</v>
      </c>
      <c r="G7" s="17" t="inlineStr">
        <is>
          <t>Overture official store — In stock</t>
        </is>
      </c>
      <c r="H7" s="18" t="inlineStr">
        <is>
          <t>Open</t>
        </is>
      </c>
      <c r="I7" s="26" t="n">
        <v>0</v>
      </c>
      <c r="J7" s="27" t="n">
        <v>1</v>
      </c>
      <c r="K7" s="26" t="n">
        <f>IF(OR(D7="",J7=""),"",(D7+IF(I7="",0,I7))/J7)</f>
        <v>18.69</v>
      </c>
      <c r="L7" s="26" t="n">
        <v>19</v>
      </c>
      <c r="M7" s="27" t="str">
        <f>IF(OR(K7="",L7=""),"",IF(IFERROR(SEARCH("Out of stock",G7),0)&gt;0,"— (out of stock)",IF(K7&lt;=L7,"★ BUY NOW","—")))</f>
        <v>★ BUY NOW</v>
      </c>
      <c r="N7" s="14" t="inlineStr">
        <is>
          <t>Verified 2026-10-11: $18.69, 402 in stock at that check.</t>
        </is>
      </c>
    </row>
    <row r="8" ht="75" customHeight="1">
      <c r="A8" s="14" t="inlineStr">
        <is>
          <t>SUNLU</t>
        </is>
      </c>
      <c r="B8" s="14" t="inlineStr">
        <is>
          <t>SUNLU Matte PLA 1kg</t>
        </is>
      </c>
      <c r="C8" s="14" t="inlineStr">
        <is>
          <t>Matte White</t>
        </is>
      </c>
      <c r="D8" s="15" t="n">
        <v>10.99</v>
      </c>
      <c r="E8" s="15" t="n">
        <v>18.99</v>
      </c>
      <c r="F8" s="16" t="str">
        <f>IF(OR(D8="",E8=""),"",TEXT(E8-D8,"$0.00")&amp;" ("&amp;TEXT(IF(E8=0,0,1-D8/E8),"0%")&amp;")")</f>
        <v>$8.00 (42%)</v>
      </c>
      <c r="G8" s="19" t="inlineStr">
        <is>
          <t>SUNLU official store — Out of stock (single spool)</t>
        </is>
      </c>
      <c r="H8" s="18" t="inlineStr">
        <is>
          <t>Open</t>
        </is>
      </c>
      <c r="I8" s="26" t="n">
        <v>0</v>
      </c>
      <c r="J8" s="27" t="n">
        <v>1</v>
      </c>
      <c r="K8" s="26" t="n">
        <f>IF(OR(D8="",J8=""),"",(D8+IF(I8="",0,I8))/J8)</f>
        <v>10.99</v>
      </c>
      <c r="L8" s="26" t="n">
        <v>15</v>
      </c>
      <c r="M8" s="27" t="str">
        <f>IF(OR(K8="",L8=""),"",IF(IFERROR(SEARCH("Out of stock",G8),0)&gt;0,"— (out of stock)",IF(K8&lt;=L8,"★ BUY NOW","—")))</f>
        <v>— (out of stock)</v>
      </c>
      <c r="N8" s="14" t="inlineStr">
        <is>
          <t>Lowest list price but NOT buyable as a single spool on 2026-10-11. Also shown on a 6kg-minimum listing — watch for a true single-spool restock under $15.</t>
        </is>
      </c>
    </row>
    <row r="9" ht="60" customHeight="1">
      <c r="A9" s="14" t="inlineStr">
        <is>
          <t>SUNLU</t>
        </is>
      </c>
      <c r="B9" s="14" t="inlineStr">
        <is>
          <t>SUNLU PLA Matte 1.75mm, 1kg</t>
        </is>
      </c>
      <c r="C9" s="14" t="inlineStr">
        <is>
          <t>Matte Bone White</t>
        </is>
      </c>
      <c r="D9" s="15" t="n">
        <v>18.99</v>
      </c>
      <c r="E9" s="15" t="n">
        <v>19.99</v>
      </c>
      <c r="F9" s="16" t="str">
        <f>IF(OR(D9="",E9=""),"",TEXT(E9-D9,"$0.00")&amp;" ("&amp;TEXT(IF(E9=0,0,1-D9/E9),"0%")&amp;")")</f>
        <v>$1.00 (5%)</v>
      </c>
      <c r="G9" s="14" t="inlineStr">
        <is>
          <t>Amazon — Check on Amazon</t>
        </is>
      </c>
      <c r="H9" s="18" t="inlineStr">
        <is>
          <t>Open</t>
        </is>
      </c>
      <c r="I9" s="26" t="n">
        <v>0</v>
      </c>
      <c r="J9" s="27" t="n">
        <v>1</v>
      </c>
      <c r="K9" s="26" t="n">
        <f>IF(OR(D9="",J9=""),"",(D9+IF(I9="",0,I9))/J9)</f>
        <v>18.99</v>
      </c>
      <c r="L9" s="26" t="n">
        <v>15</v>
      </c>
      <c r="M9" s="27" t="str">
        <f>IF(OR(K9="",L9=""),"",IF(IFERROR(SEARCH("Out of stock",G9),0)&gt;0,"— (out of stock)",IF(K9&lt;=L9,"★ BUY NOW","—")))</f>
        <v>—</v>
      </c>
      <c r="N9" s="14" t="inlineStr">
        <is>
          <t>Different, warmer white — not plain Matte White. Price from Amazon search index; confirm before buying.</t>
        </is>
      </c>
    </row>
    <row r="10" ht="60" customHeight="1">
      <c r="A10" s="14" t="inlineStr">
        <is>
          <t>Elegoo</t>
        </is>
      </c>
      <c r="B10" s="14" t="inlineStr">
        <is>
          <t>ELEGOO Matte PLA 1.75mm — 4-pack bundle</t>
        </is>
      </c>
      <c r="C10" s="14" t="inlineStr">
        <is>
          <t>Matte White (in Black/White/Slate Grey/Beige bundle)</t>
        </is>
      </c>
      <c r="D10" s="15" t="n">
        <v>47.46</v>
      </c>
      <c r="E10" s="15" t="n">
        <v>49.96</v>
      </c>
      <c r="F10" s="16" t="str">
        <f>IF(OR(D10="",E10=""),"",TEXT(E10-D10,"$0.00")&amp;" ("&amp;TEXT(IF(E10=0,0,1-D10/E10),"0%")&amp;")")</f>
        <v>$2.50 (5%)</v>
      </c>
      <c r="G10" s="14" t="inlineStr">
        <is>
          <t>Amazon — Check on Amazon</t>
        </is>
      </c>
      <c r="H10" s="18" t="inlineStr">
        <is>
          <t>Open</t>
        </is>
      </c>
      <c r="I10" s="26" t="n">
        <v>0</v>
      </c>
      <c r="J10" s="27" t="n">
        <v>4</v>
      </c>
      <c r="K10" s="26" t="n">
        <f>IF(OR(D10="",J10=""),"",(D10+IF(I10="",0,I10))/J10)</f>
        <v>11.865</v>
      </c>
      <c r="L10" s="26" t="n">
        <v>14</v>
      </c>
      <c r="M10" s="27" t="str">
        <f>IF(OR(K10="",L10=""),"",IF(IFERROR(SEARCH("Out of stock",G10),0)&gt;0,"— (out of stock)",IF(K10&lt;=L10,"★ BUY NOW","—")))</f>
        <v>★ BUY NOW</v>
      </c>
      <c r="N10" s="14" t="inlineStr">
        <is>
          <t>Bundle only: 4 x 1kg for $47.46 = $11.87/spool. No single-spool Matte White listing found on Elegoo's US store.</t>
        </is>
      </c>
    </row>
    <row r="11" ht="30" customHeight="1">
      <c r="A11" s="14" t="inlineStr">
        <is>
          <t>Elegoo</t>
        </is>
      </c>
      <c r="B11" s="14" t="inlineStr">
        <is>
          <t>ELEGOO Matte PLA 1.75mm — 10-pack</t>
        </is>
      </c>
      <c r="C11" s="14" t="inlineStr">
        <is>
          <t>Matte White</t>
        </is>
      </c>
      <c r="D11" s="15" t="n">
        <v>115.99</v>
      </c>
      <c r="E11" s="15" t="n"/>
      <c r="F11" s="16" t="str">
        <f>IF(OR(D11="",E11=""),"",TEXT(E11-D11,"$0.00")&amp;" ("&amp;TEXT(IF(E11=0,0,1-D11/E11),"0%")&amp;")")</f>
        <v/>
      </c>
      <c r="G11" s="14" t="inlineStr">
        <is>
          <t>Elegoo (deal listing) — Check — deal listing</t>
        </is>
      </c>
      <c r="H11" s="18" t="inlineStr">
        <is>
          <t>Open</t>
        </is>
      </c>
      <c r="I11" s="26" t="n">
        <v>0</v>
      </c>
      <c r="J11" s="27" t="n">
        <v>10</v>
      </c>
      <c r="K11" s="26" t="n">
        <f>IF(OR(D11="",J11=""),"",(D11+IF(I11="",0,I11))/J11)</f>
        <v>11.599</v>
      </c>
      <c r="L11" s="26" t="n">
        <v>14</v>
      </c>
      <c r="M11" s="27" t="str">
        <f>IF(OR(K11="",L11=""),"",IF(IFERROR(SEARCH("Out of stock",G11),0)&gt;0,"— (out of stock)",IF(K11&lt;=L11,"★ BUY NOW","—")))</f>
        <v>★ BUY NOW</v>
      </c>
      <c r="N11" s="14" t="inlineStr">
        <is>
          <t>Bundle only: $115.99 / 10 = $11.60/spool.</t>
        </is>
      </c>
    </row>
    <row r="12" ht="60" customHeight="1">
      <c r="A12" s="14" t="inlineStr">
        <is>
          <t>Bambu Lab</t>
        </is>
      </c>
      <c r="B12" s="14" t="inlineStr">
        <is>
          <t>Bambu Lab PLA Matte 1.75mm, 1kg — Refill</t>
        </is>
      </c>
      <c r="C12" s="14" t="inlineStr">
        <is>
          <t>Ivory White</t>
        </is>
      </c>
      <c r="D12" s="15" t="n">
        <v>19.99</v>
      </c>
      <c r="E12" s="15" t="n">
        <v>19.99</v>
      </c>
      <c r="F12" s="16" t="str">
        <f>IF(OR(D12="",E12=""),"",TEXT(E12-D12,"$0.00")&amp;" ("&amp;TEXT(IF(E12=0,0,1-D12/E12),"0%")&amp;")")</f>
        <v>$0.00 (0%)</v>
      </c>
      <c r="G12" s="14" t="inlineStr">
        <is>
          <t>Bambu Lab US Store — Check on Bambu store</t>
        </is>
      </c>
      <c r="H12" s="18" t="inlineStr">
        <is>
          <t>Open</t>
        </is>
      </c>
      <c r="I12" s="26" t="n">
        <v>0</v>
      </c>
      <c r="J12" s="27" t="n">
        <v>1</v>
      </c>
      <c r="K12" s="26" t="n">
        <f>IF(OR(D12="",J12=""),"",(D12+IF(I12="",0,I12))/J12)</f>
        <v>19.99</v>
      </c>
      <c r="L12" s="26" t="n">
        <v>20</v>
      </c>
      <c r="M12" s="27" t="str">
        <f>IF(OR(K12="",L12=""),"",IF(IFERROR(SEARCH("Out of stock",G12),0)&gt;0,"— (out of stock)",IF(K12&lt;=L12,"★ BUY NOW","—")))</f>
        <v>★ BUY NOW</v>
      </c>
      <c r="N12" s="14" t="inlineStr">
        <is>
          <t>NEW brand added 2026-10-11. Refill price $19.99; with spool $22.99. RFID for AMS. Also available in Bone White at same price.</t>
        </is>
      </c>
    </row>
    <row r="13" ht="30" customHeight="1">
      <c r="A13" s="14" t="inlineStr">
        <is>
          <t>Bambu Lab</t>
        </is>
      </c>
      <c r="B13" s="14" t="inlineStr">
        <is>
          <t>Bambu Lab PLA Matte 1.75mm, 1kg — With spool</t>
        </is>
      </c>
      <c r="C13" s="14" t="inlineStr">
        <is>
          <t>Ivory White</t>
        </is>
      </c>
      <c r="D13" s="15" t="n">
        <v>22.99</v>
      </c>
      <c r="E13" s="15" t="n">
        <v>22.99</v>
      </c>
      <c r="F13" s="16" t="str">
        <f>IF(OR(D13="",E13=""),"",TEXT(E13-D13,"$0.00")&amp;" ("&amp;TEXT(IF(E13=0,0,1-D13/E13),"0%")&amp;")")</f>
        <v>$0.00 (0%)</v>
      </c>
      <c r="G13" s="14" t="inlineStr">
        <is>
          <t>Bambu Lab US Store — Check on Bambu store</t>
        </is>
      </c>
      <c r="H13" s="18" t="inlineStr">
        <is>
          <t>Open</t>
        </is>
      </c>
      <c r="I13" s="26" t="n">
        <v>0</v>
      </c>
      <c r="J13" s="27" t="n">
        <v>1</v>
      </c>
      <c r="K13" s="26" t="n">
        <f>IF(OR(D13="",J13=""),"",(D13+IF(I13="",0,I13))/J13)</f>
        <v>22.99</v>
      </c>
      <c r="L13" s="26" t="n">
        <v>20</v>
      </c>
      <c r="M13" s="27" t="str">
        <f>IF(OR(K13="",L13=""),"",IF(IFERROR(SEARCH("Out of stock",G13),0)&gt;0,"— (out of stock)",IF(K13&lt;=L13,"★ BUY NOW","—")))</f>
        <v>—</v>
      </c>
      <c r="N13" s="14" t="inlineStr">
        <is>
          <t>Use refill price above if you already have a Bambu reusable spool.</t>
        </is>
      </c>
    </row>
    <row r="14" ht="100" customHeight="1">
      <c r="A14" s="14" t="inlineStr">
        <is>
          <t>Creality</t>
        </is>
      </c>
      <c r="B14" s="14" t="inlineStr">
        <is>
          <t>Creality CR-PLA Matte 1.75mm, 1kg</t>
        </is>
      </c>
      <c r="C14" s="14" t="inlineStr">
        <is>
          <t>Gypsum White</t>
        </is>
      </c>
      <c r="D14" s="15" t="n"/>
      <c r="E14" s="15" t="n"/>
      <c r="F14" s="16" t="str">
        <f>IF(OR(D14="",E14=""),"",TEXT(E14-D14,"$0.00")&amp;" ("&amp;TEXT(IF(E14=0,0,1-D14/E14),"0%")&amp;")")</f>
        <v/>
      </c>
      <c r="G14" s="14" t="inlineStr">
        <is>
          <t>Creality / retailers — Check retailer</t>
        </is>
      </c>
      <c r="H14" s="18" t="inlineStr">
        <is>
          <t>Open</t>
        </is>
      </c>
      <c r="I14" s="26" t="n">
        <v>0</v>
      </c>
      <c r="J14" s="27" t="n">
        <v>1</v>
      </c>
      <c r="K14" s="26" t="str">
        <f>IF(OR(D14="",J14=""),"",(D14+IF(I14="",0,I14))/J14)</f>
        <v/>
      </c>
      <c r="L14" s="26" t="n">
        <v>16</v>
      </c>
      <c r="M14" s="27" t="str">
        <f>IF(OR(K14="",L14=""),"",IF(IFERROR(SEARCH("Out of stock",G14),0)&gt;0,"— (out of stock)",IF(K14&lt;=L14,"★ BUY NOW","—")))</f>
        <v/>
      </c>
      <c r="N14" s="14" t="inlineStr">
        <is>
          <t>NEW brand added 2026-10-11. CR-PLA Matte colour list includes Gypsum White. No verified US single-spool price in this check — Canada Computers lists other CR-PLA Matte colours at $19.99 CAD; confirm US price before buying.</t>
        </is>
      </c>
    </row>
    <row r="15" ht="22" customHeight="1">
      <c r="A15" s="10" t="inlineStr">
        <is>
          <t>MATTE — BLACK  (6 listings)</t>
        </is>
      </c>
      <c r="B15" s="24" t="n"/>
      <c r="C15" s="24" t="n"/>
      <c r="D15" s="24" t="n"/>
      <c r="E15" s="24" t="n"/>
      <c r="F15" s="24" t="n"/>
      <c r="G15" s="24" t="n"/>
      <c r="H15" s="24" t="n"/>
      <c r="I15" s="24" t="n"/>
      <c r="J15" s="24" t="n"/>
      <c r="K15" s="24" t="n"/>
      <c r="L15" s="24" t="n"/>
      <c r="M15" s="24" t="n"/>
      <c r="N15" s="25" t="n"/>
    </row>
    <row r="16" ht="36" customHeight="1">
      <c r="A16" s="12" t="inlineStr">
        <is>
          <t>CHEAPEST (Black): Inland at $13.99 if the flat matte-line price holds for black — confirm in store. Elegoo's Black &amp; Slate Gray 2-pack works out to $12.82/spool on Amazon, the lowest per-spool price here, but it's a 2-pack.</t>
        </is>
      </c>
      <c r="B16" s="24" t="n"/>
      <c r="C16" s="24" t="n"/>
      <c r="D16" s="24" t="n"/>
      <c r="E16" s="24" t="n"/>
      <c r="F16" s="24" t="n"/>
      <c r="G16" s="24" t="n"/>
      <c r="H16" s="24" t="n"/>
      <c r="I16" s="24" t="n"/>
      <c r="J16" s="24" t="n"/>
      <c r="K16" s="24" t="n"/>
      <c r="L16" s="24" t="n"/>
      <c r="M16" s="24" t="n"/>
      <c r="N16" s="25" t="n"/>
    </row>
    <row r="17" ht="75" customHeight="1">
      <c r="A17" s="14" t="inlineStr">
        <is>
          <t>Inland (Micro Center)</t>
        </is>
      </c>
      <c r="B17" s="14" t="inlineStr">
        <is>
          <t>Inland Matte PLA 1.75mm, 1kg Cardboard Spool</t>
        </is>
      </c>
      <c r="C17" s="14" t="inlineStr">
        <is>
          <t>Matte Black</t>
        </is>
      </c>
      <c r="D17" s="15" t="n">
        <v>13.99</v>
      </c>
      <c r="E17" s="15" t="n"/>
      <c r="F17" s="16" t="str">
        <f>IF(OR(D17="",E17=""),"",TEXT(E17-D17,"$0.00")&amp;" ("&amp;TEXT(IF(E17=0,0,1-D17/E17),"0%")&amp;")")</f>
        <v/>
      </c>
      <c r="G17" s="17" t="inlineStr">
        <is>
          <t>Micro Center — In stock — listed</t>
        </is>
      </c>
      <c r="H17" s="18" t="inlineStr">
        <is>
          <t>Open</t>
        </is>
      </c>
      <c r="I17" s="26" t="n">
        <v>0</v>
      </c>
      <c r="J17" s="27" t="n">
        <v>1</v>
      </c>
      <c r="K17" s="26" t="n">
        <f>IF(OR(D17="",J17=""),"",(D17+IF(I17="",0,I17))/J17)</f>
        <v>13.99</v>
      </c>
      <c r="L17" s="26" t="n">
        <v>15</v>
      </c>
      <c r="M17" s="27" t="str">
        <f>IF(OR(K17="",L17=""),"",IF(IFERROR(SEARCH("Out of stock",G17),0)&gt;0,"— (out of stock)",IF(K17&lt;=L17,"★ BUY NOW","—")))</f>
        <v>★ BUY NOW</v>
      </c>
      <c r="N17" s="14" t="inlineStr">
        <is>
          <t>Inland matte line appears to sit at one price ($13.99) across colours, as verified for White and Wood Brown; confirm this shade in the search results before a trip.</t>
        </is>
      </c>
    </row>
    <row r="18" ht="45" customHeight="1">
      <c r="A18" s="14" t="inlineStr">
        <is>
          <t>Overture</t>
        </is>
      </c>
      <c r="B18" s="14" t="inlineStr">
        <is>
          <t>OVERTURE Matte PLA 1.75mm, 1kg</t>
        </is>
      </c>
      <c r="C18" s="14" t="inlineStr">
        <is>
          <t>Black</t>
        </is>
      </c>
      <c r="D18" s="15" t="n">
        <v>18.99</v>
      </c>
      <c r="E18" s="15" t="n">
        <v>23.99</v>
      </c>
      <c r="F18" s="16" t="str">
        <f>IF(OR(D18="",E18=""),"",TEXT(E18-D18,"$0.00")&amp;" ("&amp;TEXT(IF(E18=0,0,1-D18/E18),"0%")&amp;")")</f>
        <v>$5.00 (21%)</v>
      </c>
      <c r="G18" s="17" t="inlineStr">
        <is>
          <t>Overture official store — In stock</t>
        </is>
      </c>
      <c r="H18" s="18" t="inlineStr">
        <is>
          <t>Open</t>
        </is>
      </c>
      <c r="I18" s="26" t="n">
        <v>0</v>
      </c>
      <c r="J18" s="27" t="n">
        <v>1</v>
      </c>
      <c r="K18" s="26" t="n">
        <f>IF(OR(D18="",J18=""),"",(D18+IF(I18="",0,I18))/J18)</f>
        <v>18.99</v>
      </c>
      <c r="L18" s="26" t="n">
        <v>19</v>
      </c>
      <c r="M18" s="27" t="str">
        <f>IF(OR(K18="",L18=""),"",IF(IFERROR(SEARCH("Out of stock",G18),0)&gt;0,"— (out of stock)",IF(K18&lt;=L18,"★ BUY NOW","—")))</f>
        <v>★ BUY NOW</v>
      </c>
      <c r="N18" s="14" t="inlineStr">
        <is>
          <t>Price from Overture's own product-page variant list, checked via search index 2026-10-11.</t>
        </is>
      </c>
    </row>
    <row r="19" ht="90" customHeight="1">
      <c r="A19" s="14" t="inlineStr">
        <is>
          <t>SUNLU</t>
        </is>
      </c>
      <c r="B19" s="14" t="inlineStr">
        <is>
          <t>SUNLU Matte PLA 1kg</t>
        </is>
      </c>
      <c r="C19" s="14" t="inlineStr">
        <is>
          <t>Matte Black</t>
        </is>
      </c>
      <c r="D19" s="15" t="n">
        <v>18.99</v>
      </c>
      <c r="E19" s="15" t="n"/>
      <c r="F19" s="16" t="str">
        <f>IF(OR(D19="",E19=""),"",TEXT(E19-D19,"$0.00")&amp;" ("&amp;TEXT(IF(E19=0,0,1-D19/E19),"0%")&amp;")")</f>
        <v/>
      </c>
      <c r="G19" s="14" t="inlineStr">
        <is>
          <t>Amazon — Check on Amazon</t>
        </is>
      </c>
      <c r="H19" s="18" t="inlineStr">
        <is>
          <t>Open</t>
        </is>
      </c>
      <c r="I19" s="26" t="n">
        <v>0</v>
      </c>
      <c r="J19" s="27" t="n">
        <v>1</v>
      </c>
      <c r="K19" s="26" t="n">
        <f>IF(OR(D19="",J19=""),"",(D19+IF(I19="",0,I19))/J19)</f>
        <v>18.99</v>
      </c>
      <c r="L19" s="26" t="n">
        <v>15</v>
      </c>
      <c r="M19" s="27" t="str">
        <f>IF(OR(K19="",L19=""),"",IF(IFERROR(SEARCH("Out of stock",G19),0)&gt;0,"— (out of stock)",IF(K19&lt;=L19,"★ BUY NOW","—")))</f>
        <v>—</v>
      </c>
      <c r="N19" s="14" t="inlineStr">
        <is>
          <t>Amazon search-index price for SUNLU 1kg Matte Black was $15.19–$18.99 in recent listings; $18.99 shown is the typical single-spool index price — confirm on Amazon / SUNLU store before buying.</t>
        </is>
      </c>
    </row>
    <row r="20" ht="45" customHeight="1">
      <c r="A20" s="14" t="inlineStr">
        <is>
          <t>Elegoo</t>
        </is>
      </c>
      <c r="B20" s="14" t="inlineStr">
        <is>
          <t>ELEGOO Matte PLA 1.75mm — Black &amp; Slate Gray 2-pack</t>
        </is>
      </c>
      <c r="C20" s="14" t="inlineStr">
        <is>
          <t>Matte Black (with Slate Gray)</t>
        </is>
      </c>
      <c r="D20" s="15" t="n">
        <v>25.63</v>
      </c>
      <c r="E20" s="15" t="n">
        <v>29.98</v>
      </c>
      <c r="F20" s="16" t="str">
        <f>IF(OR(D20="",E20=""),"",TEXT(E20-D20,"$0.00")&amp;" ("&amp;TEXT(IF(E20=0,0,1-D20/E20),"0%")&amp;")")</f>
        <v>$4.35 (15%)</v>
      </c>
      <c r="G20" s="14" t="inlineStr">
        <is>
          <t>Amazon — Check on Amazon</t>
        </is>
      </c>
      <c r="H20" s="18" t="inlineStr">
        <is>
          <t>Open</t>
        </is>
      </c>
      <c r="I20" s="26" t="n">
        <v>0</v>
      </c>
      <c r="J20" s="27" t="n">
        <v>2</v>
      </c>
      <c r="K20" s="26" t="n">
        <f>IF(OR(D20="",J20=""),"",(D20+IF(I20="",0,I20))/J20)</f>
        <v>12.815</v>
      </c>
      <c r="L20" s="26" t="n">
        <v>14</v>
      </c>
      <c r="M20" s="27" t="str">
        <f>IF(OR(K20="",L20=""),"",IF(IFERROR(SEARCH("Out of stock",G20),0)&gt;0,"— (out of stock)",IF(K20&lt;=L20,"★ BUY NOW","—")))</f>
        <v>★ BUY NOW</v>
      </c>
      <c r="N20" s="14" t="inlineStr">
        <is>
          <t>Bundle: 2 x 1kg for $25.63 = $12.82/spool. Also in the 4-pack bundle on the White tab.</t>
        </is>
      </c>
    </row>
    <row r="21" ht="30" customHeight="1">
      <c r="A21" s="14" t="inlineStr">
        <is>
          <t>Bambu Lab</t>
        </is>
      </c>
      <c r="B21" s="14" t="inlineStr">
        <is>
          <t>Bambu Lab PLA Matte 1.75mm, 1kg — Refill</t>
        </is>
      </c>
      <c r="C21" s="14" t="inlineStr">
        <is>
          <t>Charcoal</t>
        </is>
      </c>
      <c r="D21" s="15" t="n">
        <v>19.99</v>
      </c>
      <c r="E21" s="15" t="n">
        <v>19.99</v>
      </c>
      <c r="F21" s="16" t="str">
        <f>IF(OR(D21="",E21=""),"",TEXT(E21-D21,"$0.00")&amp;" ("&amp;TEXT(IF(E21=0,0,1-D21/E21),"0%")&amp;")")</f>
        <v>$0.00 (0%)</v>
      </c>
      <c r="G21" s="14" t="inlineStr">
        <is>
          <t>Bambu Lab US Store — Check on Bambu store</t>
        </is>
      </c>
      <c r="H21" s="18" t="inlineStr">
        <is>
          <t>Open</t>
        </is>
      </c>
      <c r="I21" s="26" t="n">
        <v>0</v>
      </c>
      <c r="J21" s="27" t="n">
        <v>1</v>
      </c>
      <c r="K21" s="26" t="n">
        <f>IF(OR(D21="",J21=""),"",(D21+IF(I21="",0,I21))/J21)</f>
        <v>19.99</v>
      </c>
      <c r="L21" s="26" t="n">
        <v>20</v>
      </c>
      <c r="M21" s="27" t="str">
        <f>IF(OR(K21="",L21=""),"",IF(IFERROR(SEARCH("Out of stock",G21),0)&gt;0,"— (out of stock)",IF(K21&lt;=L21,"★ BUY NOW","—")))</f>
        <v>★ BUY NOW</v>
      </c>
      <c r="N21" s="14" t="inlineStr">
        <is>
          <t>Bambu's black matte shade is called Charcoal. With spool: $22.99.</t>
        </is>
      </c>
    </row>
    <row r="22" ht="60" customHeight="1">
      <c r="A22" s="14" t="inlineStr">
        <is>
          <t>Creality</t>
        </is>
      </c>
      <c r="B22" s="14" t="inlineStr">
        <is>
          <t>Creality CR-PLA Matte 1.75mm, 1kg</t>
        </is>
      </c>
      <c r="C22" s="14" t="inlineStr">
        <is>
          <t>Matte Black</t>
        </is>
      </c>
      <c r="D22" s="15" t="n"/>
      <c r="E22" s="15" t="n"/>
      <c r="F22" s="16" t="str">
        <f>IF(OR(D22="",E22=""),"",TEXT(E22-D22,"$0.00")&amp;" ("&amp;TEXT(IF(E22=0,0,1-D22/E22),"0%")&amp;")")</f>
        <v/>
      </c>
      <c r="G22" s="14" t="inlineStr">
        <is>
          <t>Creality / retailers — Check retailer</t>
        </is>
      </c>
      <c r="H22" s="18" t="inlineStr">
        <is>
          <t>Open</t>
        </is>
      </c>
      <c r="I22" s="26" t="n">
        <v>0</v>
      </c>
      <c r="J22" s="27" t="n">
        <v>1</v>
      </c>
      <c r="K22" s="26" t="str">
        <f>IF(OR(D22="",J22=""),"",(D22+IF(I22="",0,I22))/J22)</f>
        <v/>
      </c>
      <c r="L22" s="26" t="n">
        <v>16</v>
      </c>
      <c r="M22" s="27" t="str">
        <f>IF(OR(K22="",L22=""),"",IF(IFERROR(SEARCH("Out of stock",G22),0)&gt;0,"— (out of stock)",IF(K22&lt;=L22,"★ BUY NOW","—")))</f>
        <v/>
      </c>
      <c r="N22" s="14" t="inlineStr">
        <is>
          <t>CR-PLA Matte colour list includes Matte Black. No verified US single-spool price in this check — see White tab note.</t>
        </is>
      </c>
    </row>
    <row r="23" ht="22" customHeight="1">
      <c r="A23" s="10" t="inlineStr">
        <is>
          <t>MATTE — GREY  (6 listings)</t>
        </is>
      </c>
      <c r="B23" s="24" t="n"/>
      <c r="C23" s="24" t="n"/>
      <c r="D23" s="24" t="n"/>
      <c r="E23" s="24" t="n"/>
      <c r="F23" s="24" t="n"/>
      <c r="G23" s="24" t="n"/>
      <c r="H23" s="24" t="n"/>
      <c r="I23" s="24" t="n"/>
      <c r="J23" s="24" t="n"/>
      <c r="K23" s="24" t="n"/>
      <c r="L23" s="24" t="n"/>
      <c r="M23" s="24" t="n"/>
      <c r="N23" s="25" t="n"/>
    </row>
    <row r="24" ht="36" customHeight="1">
      <c r="A24" s="12" t="inlineStr">
        <is>
          <t>GREY SHADES DIFFER BY BRAND: Overture = Light Gray, Elegoo = Slate Grey, Bambu = Ash Gray / Nardo Gray, Creality = Matte Grey. Cheapest verified single spool is Inland at $13.99.</t>
        </is>
      </c>
      <c r="B24" s="24" t="n"/>
      <c r="C24" s="24" t="n"/>
      <c r="D24" s="24" t="n"/>
      <c r="E24" s="24" t="n"/>
      <c r="F24" s="24" t="n"/>
      <c r="G24" s="24" t="n"/>
      <c r="H24" s="24" t="n"/>
      <c r="I24" s="24" t="n"/>
      <c r="J24" s="24" t="n"/>
      <c r="K24" s="24" t="n"/>
      <c r="L24" s="24" t="n"/>
      <c r="M24" s="24" t="n"/>
      <c r="N24" s="25" t="n"/>
    </row>
    <row r="25" ht="30" customHeight="1">
      <c r="A25" s="14" t="inlineStr">
        <is>
          <t>Inland (Micro Center)</t>
        </is>
      </c>
      <c r="B25" s="14" t="inlineStr">
        <is>
          <t>Inland Matte PLA 1.75mm, 1kg Cardboard Spool</t>
        </is>
      </c>
      <c r="C25" s="14" t="inlineStr">
        <is>
          <t>Matte Grey</t>
        </is>
      </c>
      <c r="D25" s="15" t="n">
        <v>13.99</v>
      </c>
      <c r="E25" s="15" t="n"/>
      <c r="F25" s="16" t="str">
        <f>IF(OR(D25="",E25=""),"",TEXT(E25-D25,"$0.00")&amp;" ("&amp;TEXT(IF(E25=0,0,1-D25/E25),"0%")&amp;")")</f>
        <v/>
      </c>
      <c r="G25" s="17" t="inlineStr">
        <is>
          <t>Micro Center — In stock — listed</t>
        </is>
      </c>
      <c r="H25" s="18" t="inlineStr">
        <is>
          <t>Open</t>
        </is>
      </c>
      <c r="I25" s="26" t="n">
        <v>0</v>
      </c>
      <c r="J25" s="27" t="n">
        <v>1</v>
      </c>
      <c r="K25" s="26" t="n">
        <f>IF(OR(D25="",J25=""),"",(D25+IF(I25="",0,I25))/J25)</f>
        <v>13.99</v>
      </c>
      <c r="L25" s="26" t="n">
        <v>15</v>
      </c>
      <c r="M25" s="27" t="str">
        <f>IF(OR(K25="",L25=""),"",IF(IFERROR(SEARCH("Out of stock",G25),0)&gt;0,"— (out of stock)",IF(K25&lt;=L25,"★ BUY NOW","—")))</f>
        <v>★ BUY NOW</v>
      </c>
      <c r="N25" s="14" t="inlineStr">
        <is>
          <t>Same flat $13.99 matte-line price — confirm shade in search results.</t>
        </is>
      </c>
    </row>
    <row r="26" ht="30" customHeight="1">
      <c r="A26" s="14" t="inlineStr">
        <is>
          <t>Overture</t>
        </is>
      </c>
      <c r="B26" s="14" t="inlineStr">
        <is>
          <t>OVERTURE Matte PLA 1.75mm, 1kg</t>
        </is>
      </c>
      <c r="C26" s="14" t="inlineStr">
        <is>
          <t>Light Gray</t>
        </is>
      </c>
      <c r="D26" s="15" t="n">
        <v>18.69</v>
      </c>
      <c r="E26" s="15" t="n">
        <v>23.99</v>
      </c>
      <c r="F26" s="16" t="str">
        <f>IF(OR(D26="",E26=""),"",TEXT(E26-D26,"$0.00")&amp;" ("&amp;TEXT(IF(E26=0,0,1-D26/E26),"0%")&amp;")")</f>
        <v>$5.30 (22%)</v>
      </c>
      <c r="G26" s="17" t="inlineStr">
        <is>
          <t>Overture official store — In stock</t>
        </is>
      </c>
      <c r="H26" s="18" t="inlineStr">
        <is>
          <t>Open</t>
        </is>
      </c>
      <c r="I26" s="26" t="n">
        <v>0</v>
      </c>
      <c r="J26" s="27" t="n">
        <v>1</v>
      </c>
      <c r="K26" s="26" t="n">
        <f>IF(OR(D26="",J26=""),"",(D26+IF(I26="",0,I26))/J26)</f>
        <v>18.69</v>
      </c>
      <c r="L26" s="26" t="n">
        <v>19</v>
      </c>
      <c r="M26" s="27" t="str">
        <f>IF(OR(K26="",L26=""),"",IF(IFERROR(SEARCH("Out of stock",G26),0)&gt;0,"— (out of stock)",IF(K26&lt;=L26,"★ BUY NOW","—")))</f>
        <v>★ BUY NOW</v>
      </c>
      <c r="N26" s="14" t="inlineStr">
        <is>
          <t>Light Gray variant at $18.69 on Overture's product page.</t>
        </is>
      </c>
    </row>
    <row r="27" ht="45" customHeight="1">
      <c r="A27" s="14" t="inlineStr">
        <is>
          <t>SUNLU</t>
        </is>
      </c>
      <c r="B27" s="14" t="inlineStr">
        <is>
          <t>SUNLU Matte PLA 1kg</t>
        </is>
      </c>
      <c r="C27" s="14" t="inlineStr">
        <is>
          <t>Matte Grey / Gray</t>
        </is>
      </c>
      <c r="D27" s="15" t="n">
        <v>18.99</v>
      </c>
      <c r="E27" s="15" t="n"/>
      <c r="F27" s="16" t="str">
        <f>IF(OR(D27="",E27=""),"",TEXT(E27-D27,"$0.00")&amp;" ("&amp;TEXT(IF(E27=0,0,1-D27/E27),"0%")&amp;")")</f>
        <v/>
      </c>
      <c r="G27" s="14" t="inlineStr">
        <is>
          <t>Amazon — Check on Amazon</t>
        </is>
      </c>
      <c r="H27" s="18" t="inlineStr">
        <is>
          <t>Open</t>
        </is>
      </c>
      <c r="I27" s="26" t="n">
        <v>0</v>
      </c>
      <c r="J27" s="27" t="n">
        <v>1</v>
      </c>
      <c r="K27" s="26" t="n">
        <f>IF(OR(D27="",J27=""),"",(D27+IF(I27="",0,I27))/J27)</f>
        <v>18.99</v>
      </c>
      <c r="L27" s="26" t="n">
        <v>15</v>
      </c>
      <c r="M27" s="27" t="str">
        <f>IF(OR(K27="",L27=""),"",IF(IFERROR(SEARCH("Out of stock",G27),0)&gt;0,"— (out of stock)",IF(K27&lt;=L27,"★ BUY NOW","—")))</f>
        <v>—</v>
      </c>
      <c r="N27" s="14" t="inlineStr">
        <is>
          <t>Search-index prices for SUNLU Matte Grey ran $18.99–$19.99 — confirm before buying.</t>
        </is>
      </c>
    </row>
    <row r="28" ht="45" customHeight="1">
      <c r="A28" s="14" t="inlineStr">
        <is>
          <t>Elegoo</t>
        </is>
      </c>
      <c r="B28" s="14" t="inlineStr">
        <is>
          <t>ELEGOO Matte PLA 1.75mm</t>
        </is>
      </c>
      <c r="C28" s="14" t="inlineStr">
        <is>
          <t>Slate Grey</t>
        </is>
      </c>
      <c r="D28" s="15" t="n"/>
      <c r="E28" s="15" t="n"/>
      <c r="F28" s="16" t="str">
        <f>IF(OR(D28="",E28=""),"",TEXT(E28-D28,"$0.00")&amp;" ("&amp;TEXT(IF(E28=0,0,1-D28/E28),"0%")&amp;")")</f>
        <v/>
      </c>
      <c r="G28" s="14" t="inlineStr">
        <is>
          <t>Amazon — Check on Amazon</t>
        </is>
      </c>
      <c r="H28" s="18" t="inlineStr">
        <is>
          <t>Open</t>
        </is>
      </c>
      <c r="I28" s="26" t="n">
        <v>0</v>
      </c>
      <c r="J28" s="27" t="n">
        <v>1</v>
      </c>
      <c r="K28" s="26" t="str">
        <f>IF(OR(D28="",J28=""),"",(D28+IF(I28="",0,I28))/J28)</f>
        <v/>
      </c>
      <c r="L28" s="26" t="n">
        <v>14</v>
      </c>
      <c r="M28" s="27" t="str">
        <f>IF(OR(K28="",L28=""),"",IF(IFERROR(SEARCH("Out of stock",G28),0)&gt;0,"— (out of stock)",IF(K28&lt;=L28,"★ BUY NOW","—")))</f>
        <v/>
      </c>
      <c r="N28" s="14" t="inlineStr">
        <is>
          <t>Sold as Black &amp; Slate Gray 2-pack ($25.63) and in the 4-pack bundle — no verified single-spool price.</t>
        </is>
      </c>
    </row>
    <row r="29" ht="45" customHeight="1">
      <c r="A29" s="14" t="inlineStr">
        <is>
          <t>Bambu Lab</t>
        </is>
      </c>
      <c r="B29" s="14" t="inlineStr">
        <is>
          <t>Bambu Lab PLA Matte 1.75mm, 1kg — Refill</t>
        </is>
      </c>
      <c r="C29" s="14" t="inlineStr">
        <is>
          <t>Ash Gray / Nardo Gray</t>
        </is>
      </c>
      <c r="D29" s="15" t="n">
        <v>19.99</v>
      </c>
      <c r="E29" s="15" t="n">
        <v>19.99</v>
      </c>
      <c r="F29" s="16" t="str">
        <f>IF(OR(D29="",E29=""),"",TEXT(E29-D29,"$0.00")&amp;" ("&amp;TEXT(IF(E29=0,0,1-D29/E29),"0%")&amp;")")</f>
        <v>$0.00 (0%)</v>
      </c>
      <c r="G29" s="14" t="inlineStr">
        <is>
          <t>Bambu Lab US Store — Check on Bambu store</t>
        </is>
      </c>
      <c r="H29" s="18" t="inlineStr">
        <is>
          <t>Open</t>
        </is>
      </c>
      <c r="I29" s="26" t="n">
        <v>0</v>
      </c>
      <c r="J29" s="27" t="n">
        <v>1</v>
      </c>
      <c r="K29" s="26" t="n">
        <f>IF(OR(D29="",J29=""),"",(D29+IF(I29="",0,I29))/J29)</f>
        <v>19.99</v>
      </c>
      <c r="L29" s="26" t="n">
        <v>20</v>
      </c>
      <c r="M29" s="27" t="str">
        <f>IF(OR(K29="",L29=""),"",IF(IFERROR(SEARCH("Out of stock",G29),0)&gt;0,"— (out of stock)",IF(K29&lt;=L29,"★ BUY NOW","—")))</f>
        <v>★ BUY NOW</v>
      </c>
      <c r="N29" s="14" t="inlineStr">
        <is>
          <t>Two grey shades at same price: Ash Gray and Nardo Gray. With spool: $22.99.</t>
        </is>
      </c>
    </row>
    <row r="30" ht="60" customHeight="1">
      <c r="A30" s="14" t="inlineStr">
        <is>
          <t>Creality</t>
        </is>
      </c>
      <c r="B30" s="14" t="inlineStr">
        <is>
          <t>Creality CR-PLA Matte 1.75mm, 1kg</t>
        </is>
      </c>
      <c r="C30" s="14" t="inlineStr">
        <is>
          <t>Matte Grey</t>
        </is>
      </c>
      <c r="D30" s="15" t="n"/>
      <c r="E30" s="15" t="n"/>
      <c r="F30" s="16" t="str">
        <f>IF(OR(D30="",E30=""),"",TEXT(E30-D30,"$0.00")&amp;" ("&amp;TEXT(IF(E30=0,0,1-D30/E30),"0%")&amp;")")</f>
        <v/>
      </c>
      <c r="G30" s="14" t="inlineStr">
        <is>
          <t>Canada Computers (example) — Check retailer</t>
        </is>
      </c>
      <c r="H30" s="18" t="inlineStr">
        <is>
          <t>Open</t>
        </is>
      </c>
      <c r="I30" s="26" t="n">
        <v>0</v>
      </c>
      <c r="J30" s="27" t="n">
        <v>1</v>
      </c>
      <c r="K30" s="26" t="str">
        <f>IF(OR(D30="",J30=""),"",(D30+IF(I30="",0,I30))/J30)</f>
        <v/>
      </c>
      <c r="L30" s="26" t="n">
        <v>16</v>
      </c>
      <c r="M30" s="27" t="str">
        <f>IF(OR(K30="",L30=""),"",IF(IFERROR(SEARCH("Out of stock",G30),0)&gt;0,"— (out of stock)",IF(K30&lt;=L30,"★ BUY NOW","—")))</f>
        <v/>
      </c>
      <c r="N30" s="14" t="inlineStr">
        <is>
          <t>Listed at $19.99 CAD at Canada Computers — that is CAD, not a verified US price, so the USD price cell is blank.</t>
        </is>
      </c>
    </row>
    <row r="31" ht="22" customHeight="1">
      <c r="A31" s="10" t="inlineStr">
        <is>
          <t>MATTE — RED  (7 listings)</t>
        </is>
      </c>
      <c r="B31" s="24" t="n"/>
      <c r="C31" s="24" t="n"/>
      <c r="D31" s="24" t="n"/>
      <c r="E31" s="24" t="n"/>
      <c r="F31" s="24" t="n"/>
      <c r="G31" s="24" t="n"/>
      <c r="H31" s="24" t="n"/>
      <c r="I31" s="24" t="n"/>
      <c r="J31" s="24" t="n"/>
      <c r="K31" s="24" t="n"/>
      <c r="L31" s="24" t="n"/>
      <c r="M31" s="24" t="n"/>
      <c r="N31" s="25" t="n"/>
    </row>
    <row r="32" ht="36" customHeight="1">
      <c r="A32" s="12" t="inlineStr">
        <is>
          <t>RED: Overture plain Red was sold out — Brick Red / Pastel Red are the in-stock Overture reds at $18.99. Creality's red is Strawberry Red; Bambu's are Scarlet Red and Dark Red.</t>
        </is>
      </c>
      <c r="B32" s="24" t="n"/>
      <c r="C32" s="24" t="n"/>
      <c r="D32" s="24" t="n"/>
      <c r="E32" s="24" t="n"/>
      <c r="F32" s="24" t="n"/>
      <c r="G32" s="24" t="n"/>
      <c r="H32" s="24" t="n"/>
      <c r="I32" s="24" t="n"/>
      <c r="J32" s="24" t="n"/>
      <c r="K32" s="24" t="n"/>
      <c r="L32" s="24" t="n"/>
      <c r="M32" s="24" t="n"/>
      <c r="N32" s="25" t="n"/>
    </row>
    <row r="33" ht="45" customHeight="1">
      <c r="A33" s="14" t="inlineStr">
        <is>
          <t>Inland (Micro Center)</t>
        </is>
      </c>
      <c r="B33" s="14" t="inlineStr">
        <is>
          <t>Inland Matte PLA 1.75mm, 1kg</t>
        </is>
      </c>
      <c r="C33" s="14" t="inlineStr">
        <is>
          <t>Matte Red (shade varies)</t>
        </is>
      </c>
      <c r="D33" s="15" t="n">
        <v>13.99</v>
      </c>
      <c r="E33" s="15" t="n"/>
      <c r="F33" s="16" t="str">
        <f>IF(OR(D33="",E33=""),"",TEXT(E33-D33,"$0.00")&amp;" ("&amp;TEXT(IF(E33=0,0,1-D33/E33),"0%")&amp;")")</f>
        <v/>
      </c>
      <c r="G33" s="14" t="inlineStr">
        <is>
          <t>Micro Center — Check in store</t>
        </is>
      </c>
      <c r="H33" s="18" t="inlineStr">
        <is>
          <t>Open</t>
        </is>
      </c>
      <c r="I33" s="26" t="n">
        <v>0</v>
      </c>
      <c r="J33" s="27" t="n">
        <v>1</v>
      </c>
      <c r="K33" s="26" t="n">
        <f>IF(OR(D33="",J33=""),"",(D33+IF(I33="",0,I33))/J33)</f>
        <v>13.99</v>
      </c>
      <c r="L33" s="26" t="n">
        <v>15</v>
      </c>
      <c r="M33" s="27" t="str">
        <f>IF(OR(K33="",L33=""),"",IF(IFERROR(SEARCH("Out of stock",G33),0)&gt;0,"— (out of stock)",IF(K33&lt;=L33,"★ BUY NOW","—")))</f>
        <v>★ BUY NOW</v>
      </c>
      <c r="N33" s="14" t="inlineStr">
        <is>
          <t>Confirm exact matte red shade/availability — Inland matte colour range is smaller than Overture/SUNLU.</t>
        </is>
      </c>
    </row>
    <row r="34" ht="75" customHeight="1">
      <c r="A34" s="14" t="inlineStr">
        <is>
          <t>Overture</t>
        </is>
      </c>
      <c r="B34" s="14" t="inlineStr">
        <is>
          <t>OVERTURE Matte PLA 1.75mm, 1kg</t>
        </is>
      </c>
      <c r="C34" s="14" t="inlineStr">
        <is>
          <t>Red</t>
        </is>
      </c>
      <c r="D34" s="15" t="n">
        <v>18.99</v>
      </c>
      <c r="E34" s="15" t="n">
        <v>23.99</v>
      </c>
      <c r="F34" s="16" t="str">
        <f>IF(OR(D34="",E34=""),"",TEXT(E34-D34,"$0.00")&amp;" ("&amp;TEXT(IF(E34=0,0,1-D34/E34),"0%")&amp;")")</f>
        <v>$5.00 (21%)</v>
      </c>
      <c r="G34" s="19" t="inlineStr">
        <is>
          <t>Overture official store — Out of stock</t>
        </is>
      </c>
      <c r="H34" s="18" t="inlineStr">
        <is>
          <t>Open</t>
        </is>
      </c>
      <c r="I34" s="26" t="n">
        <v>0</v>
      </c>
      <c r="J34" s="27" t="n">
        <v>1</v>
      </c>
      <c r="K34" s="26" t="n">
        <f>IF(OR(D34="",J34=""),"",(D34+IF(I34="",0,I34))/J34)</f>
        <v>18.99</v>
      </c>
      <c r="L34" s="26" t="n">
        <v>19</v>
      </c>
      <c r="M34" s="27" t="str">
        <f>IF(OR(K34="",L34=""),"",IF(IFERROR(SEARCH("Out of stock",G34),0)&gt;0,"— (out of stock)",IF(K34&lt;=L34,"★ BUY NOW","—")))</f>
        <v>— (out of stock)</v>
      </c>
      <c r="N34" s="14" t="inlineStr">
        <is>
          <t>Red was Sold out on Overture's product page at the check. Alternatives at $18.99: Brick Red and Pastel Red (in stock in the variant list).</t>
        </is>
      </c>
    </row>
    <row r="35" ht="30" customHeight="1">
      <c r="A35" s="14" t="inlineStr">
        <is>
          <t>Overture</t>
        </is>
      </c>
      <c r="B35" s="14" t="inlineStr">
        <is>
          <t>OVERTURE Matte PLA 1.75mm, 1kg</t>
        </is>
      </c>
      <c r="C35" s="14" t="inlineStr">
        <is>
          <t>Brick Red / Pastel Red</t>
        </is>
      </c>
      <c r="D35" s="15" t="n">
        <v>18.99</v>
      </c>
      <c r="E35" s="15" t="n">
        <v>23.99</v>
      </c>
      <c r="F35" s="16" t="str">
        <f>IF(OR(D35="",E35=""),"",TEXT(E35-D35,"$0.00")&amp;" ("&amp;TEXT(IF(E35=0,0,1-D35/E35),"0%")&amp;")")</f>
        <v>$5.00 (21%)</v>
      </c>
      <c r="G35" s="17" t="inlineStr">
        <is>
          <t>Overture official store — In stock</t>
        </is>
      </c>
      <c r="H35" s="18" t="inlineStr">
        <is>
          <t>Open</t>
        </is>
      </c>
      <c r="I35" s="26" t="n">
        <v>0</v>
      </c>
      <c r="J35" s="27" t="n">
        <v>1</v>
      </c>
      <c r="K35" s="26" t="n">
        <f>IF(OR(D35="",J35=""),"",(D35+IF(I35="",0,I35))/J35)</f>
        <v>18.99</v>
      </c>
      <c r="L35" s="26" t="n">
        <v>19</v>
      </c>
      <c r="M35" s="27" t="str">
        <f>IF(OR(K35="",L35=""),"",IF(IFERROR(SEARCH("Out of stock",G35),0)&gt;0,"— (out of stock)",IF(K35&lt;=L35,"★ BUY NOW","—")))</f>
        <v>★ BUY NOW</v>
      </c>
      <c r="N35" s="14" t="inlineStr">
        <is>
          <t>Use these if plain Red is still sold out.</t>
        </is>
      </c>
    </row>
    <row r="36" ht="30" customHeight="1">
      <c r="A36" s="14" t="inlineStr">
        <is>
          <t>SUNLU</t>
        </is>
      </c>
      <c r="B36" s="14" t="inlineStr">
        <is>
          <t>SUNLU Matte PLA 1kg</t>
        </is>
      </c>
      <c r="C36" s="14" t="inlineStr">
        <is>
          <t>Matte Red</t>
        </is>
      </c>
      <c r="D36" s="15" t="n">
        <v>18.99</v>
      </c>
      <c r="E36" s="15" t="n"/>
      <c r="F36" s="16" t="str">
        <f>IF(OR(D36="",E36=""),"",TEXT(E36-D36,"$0.00")&amp;" ("&amp;TEXT(IF(E36=0,0,1-D36/E36),"0%")&amp;")")</f>
        <v/>
      </c>
      <c r="G36" s="14" t="inlineStr">
        <is>
          <t>Amazon — Check on Amazon</t>
        </is>
      </c>
      <c r="H36" s="18" t="inlineStr">
        <is>
          <t>Open</t>
        </is>
      </c>
      <c r="I36" s="26" t="n">
        <v>0</v>
      </c>
      <c r="J36" s="27" t="n">
        <v>1</v>
      </c>
      <c r="K36" s="26" t="n">
        <f>IF(OR(D36="",J36=""),"",(D36+IF(I36="",0,I36))/J36)</f>
        <v>18.99</v>
      </c>
      <c r="L36" s="26" t="n">
        <v>15</v>
      </c>
      <c r="M36" s="27" t="str">
        <f>IF(OR(K36="",L36=""),"",IF(IFERROR(SEARCH("Out of stock",G36),0)&gt;0,"— (out of stock)",IF(K36&lt;=L36,"★ BUY NOW","—")))</f>
        <v>—</v>
      </c>
      <c r="N36" s="14" t="inlineStr">
        <is>
          <t>Search-index price — confirm before buying.</t>
        </is>
      </c>
    </row>
    <row r="37" ht="75" customHeight="1">
      <c r="A37" s="14" t="inlineStr">
        <is>
          <t>Elegoo</t>
        </is>
      </c>
      <c r="B37" s="14" t="inlineStr">
        <is>
          <t>ELEGOO Matte PLA 1.75mm</t>
        </is>
      </c>
      <c r="C37" s="14" t="inlineStr">
        <is>
          <t>Ruby Red</t>
        </is>
      </c>
      <c r="D37" s="15" t="n"/>
      <c r="E37" s="15" t="n"/>
      <c r="F37" s="16" t="str">
        <f>IF(OR(D37="",E37=""),"",TEXT(E37-D37,"$0.00")&amp;" ("&amp;TEXT(IF(E37=0,0,1-D37/E37),"0%")&amp;")")</f>
        <v/>
      </c>
      <c r="G37" s="14" t="inlineStr">
        <is>
          <t>Amazon — Check on Amazon</t>
        </is>
      </c>
      <c r="H37" s="18" t="inlineStr">
        <is>
          <t>Open</t>
        </is>
      </c>
      <c r="I37" s="26" t="n">
        <v>0</v>
      </c>
      <c r="J37" s="27" t="n">
        <v>1</v>
      </c>
      <c r="K37" s="26" t="str">
        <f>IF(OR(D37="",J37=""),"",(D37+IF(I37="",0,I37))/J37)</f>
        <v/>
      </c>
      <c r="L37" s="26" t="n">
        <v>14</v>
      </c>
      <c r="M37" s="27" t="str">
        <f>IF(OR(K37="",L37=""),"",IF(IFERROR(SEARCH("Out of stock",G37),0)&gt;0,"— (out of stock)",IF(K37&lt;=L37,"★ BUY NOW","—")))</f>
        <v/>
      </c>
      <c r="N37" s="14" t="inlineStr">
        <is>
          <t>Ruby Red appears in Elegoo matte refill bundles (e.g. Black/White/Ruby Red/Navy Blue 4-pack, deal price $34.19 on 2026-09-19) — no verified single-spool price today.</t>
        </is>
      </c>
    </row>
    <row r="38" ht="30" customHeight="1">
      <c r="A38" s="14" t="inlineStr">
        <is>
          <t>Bambu Lab</t>
        </is>
      </c>
      <c r="B38" s="14" t="inlineStr">
        <is>
          <t>Bambu Lab PLA Matte 1.75mm, 1kg — Refill</t>
        </is>
      </c>
      <c r="C38" s="14" t="inlineStr">
        <is>
          <t>Scarlet Red / Dark Red</t>
        </is>
      </c>
      <c r="D38" s="15" t="n">
        <v>19.99</v>
      </c>
      <c r="E38" s="15" t="n">
        <v>19.99</v>
      </c>
      <c r="F38" s="16" t="str">
        <f>IF(OR(D38="",E38=""),"",TEXT(E38-D38,"$0.00")&amp;" ("&amp;TEXT(IF(E38=0,0,1-D38/E38),"0%")&amp;")")</f>
        <v>$0.00 (0%)</v>
      </c>
      <c r="G38" s="14" t="inlineStr">
        <is>
          <t>Bambu Lab US Store — Check on Bambu store</t>
        </is>
      </c>
      <c r="H38" s="18" t="inlineStr">
        <is>
          <t>Open</t>
        </is>
      </c>
      <c r="I38" s="26" t="n">
        <v>0</v>
      </c>
      <c r="J38" s="27" t="n">
        <v>1</v>
      </c>
      <c r="K38" s="26" t="n">
        <f>IF(OR(D38="",J38=""),"",(D38+IF(I38="",0,I38))/J38)</f>
        <v>19.99</v>
      </c>
      <c r="L38" s="26" t="n">
        <v>20</v>
      </c>
      <c r="M38" s="27" t="str">
        <f>IF(OR(K38="",L38=""),"",IF(IFERROR(SEARCH("Out of stock",G38),0)&gt;0,"— (out of stock)",IF(K38&lt;=L38,"★ BUY NOW","—")))</f>
        <v>★ BUY NOW</v>
      </c>
      <c r="N38" s="14" t="inlineStr">
        <is>
          <t>Two reds at same price. With spool: $22.99.</t>
        </is>
      </c>
    </row>
    <row r="39" ht="45" customHeight="1">
      <c r="A39" s="14" t="inlineStr">
        <is>
          <t>Creality</t>
        </is>
      </c>
      <c r="B39" s="14" t="inlineStr">
        <is>
          <t>Creality CR-PLA Matte 1.75mm, 1kg</t>
        </is>
      </c>
      <c r="C39" s="14" t="inlineStr">
        <is>
          <t>Strawberry Red</t>
        </is>
      </c>
      <c r="D39" s="15" t="n"/>
      <c r="E39" s="15" t="n"/>
      <c r="F39" s="16" t="str">
        <f>IF(OR(D39="",E39=""),"",TEXT(E39-D39,"$0.00")&amp;" ("&amp;TEXT(IF(E39=0,0,1-D39/E39),"0%")&amp;")")</f>
        <v/>
      </c>
      <c r="G39" s="14" t="inlineStr">
        <is>
          <t>Canada Computers (example) — Check retailer</t>
        </is>
      </c>
      <c r="H39" s="18" t="inlineStr">
        <is>
          <t>Open</t>
        </is>
      </c>
      <c r="I39" s="26" t="n">
        <v>0</v>
      </c>
      <c r="J39" s="27" t="n">
        <v>1</v>
      </c>
      <c r="K39" s="26" t="str">
        <f>IF(OR(D39="",J39=""),"",(D39+IF(I39="",0,I39))/J39)</f>
        <v/>
      </c>
      <c r="L39" s="26" t="n">
        <v>16</v>
      </c>
      <c r="M39" s="27" t="str">
        <f>IF(OR(K39="",L39=""),"",IF(IFERROR(SEARCH("Out of stock",G39),0)&gt;0,"— (out of stock)",IF(K39&lt;=L39,"★ BUY NOW","—")))</f>
        <v/>
      </c>
      <c r="N39" s="14" t="inlineStr">
        <is>
          <t>Listed at $19.99 CAD at Canada Computers — CAD example only, USD price blank on purpose.</t>
        </is>
      </c>
    </row>
    <row r="40" ht="22" customHeight="1">
      <c r="A40" s="10" t="inlineStr">
        <is>
          <t>MATTE — BLUE  (7 listings)</t>
        </is>
      </c>
      <c r="B40" s="24" t="n"/>
      <c r="C40" s="24" t="n"/>
      <c r="D40" s="24" t="n"/>
      <c r="E40" s="24" t="n"/>
      <c r="F40" s="24" t="n"/>
      <c r="G40" s="24" t="n"/>
      <c r="H40" s="24" t="n"/>
      <c r="I40" s="24" t="n"/>
      <c r="J40" s="24" t="n"/>
      <c r="K40" s="24" t="n"/>
      <c r="L40" s="24" t="n"/>
      <c r="M40" s="24" t="n"/>
      <c r="N40" s="25" t="n"/>
    </row>
    <row r="41" ht="36" customHeight="1">
      <c r="A41" s="12" t="inlineStr">
        <is>
          <t>BLUE: Widest shade range is Bambu (Marine / Dark / Ice / Sky Blue, all $19.99 refill). Overture plain Blue is the outlier at $20.89 — Light Blue / Navy Blue are $18.99.</t>
        </is>
      </c>
      <c r="B41" s="24" t="n"/>
      <c r="C41" s="24" t="n"/>
      <c r="D41" s="24" t="n"/>
      <c r="E41" s="24" t="n"/>
      <c r="F41" s="24" t="n"/>
      <c r="G41" s="24" t="n"/>
      <c r="H41" s="24" t="n"/>
      <c r="I41" s="24" t="n"/>
      <c r="J41" s="24" t="n"/>
      <c r="K41" s="24" t="n"/>
      <c r="L41" s="24" t="n"/>
      <c r="M41" s="24" t="n"/>
      <c r="N41" s="25" t="n"/>
    </row>
    <row r="42" ht="75" customHeight="1">
      <c r="A42" s="14" t="inlineStr">
        <is>
          <t>Inland (Micro Center)</t>
        </is>
      </c>
      <c r="B42" s="14" t="inlineStr">
        <is>
          <t>Inland Matte PLA 1.75mm, 1kg</t>
        </is>
      </c>
      <c r="C42" s="14" t="inlineStr">
        <is>
          <t>Matte Light Blue</t>
        </is>
      </c>
      <c r="D42" s="15" t="n">
        <v>13.99</v>
      </c>
      <c r="E42" s="15" t="n"/>
      <c r="F42" s="16" t="str">
        <f>IF(OR(D42="",E42=""),"",TEXT(E42-D42,"$0.00")&amp;" ("&amp;TEXT(IF(E42=0,0,1-D42/E42),"0%")&amp;")")</f>
        <v/>
      </c>
      <c r="G42" s="14" t="inlineStr">
        <is>
          <t>Micro Center / Amazon — Check</t>
        </is>
      </c>
      <c r="H42" s="18" t="inlineStr">
        <is>
          <t>Open</t>
        </is>
      </c>
      <c r="I42" s="26" t="n">
        <v>0</v>
      </c>
      <c r="J42" s="27" t="n">
        <v>1</v>
      </c>
      <c r="K42" s="26" t="n">
        <f>IF(OR(D42="",J42=""),"",(D42+IF(I42="",0,I42))/J42)</f>
        <v>13.99</v>
      </c>
      <c r="L42" s="26" t="n">
        <v>15</v>
      </c>
      <c r="M42" s="27" t="str">
        <f>IF(OR(K42="",L42=""),"",IF(IFERROR(SEARCH("Out of stock",G42),0)&gt;0,"— (out of stock)",IF(K42&lt;=L42,"★ BUY NOW","—")))</f>
        <v>★ BUY NOW</v>
      </c>
      <c r="N42" s="14" t="inlineStr">
        <is>
          <t>Inland matte Light Blue exists (also sold via Amazon as Inland Matte PLA Light Blue); $13.99 is the Micro Center matte-line price — confirm shade/stock.</t>
        </is>
      </c>
    </row>
    <row r="43" ht="45" customHeight="1">
      <c r="A43" s="14" t="inlineStr">
        <is>
          <t>Overture</t>
        </is>
      </c>
      <c r="B43" s="14" t="inlineStr">
        <is>
          <t>OVERTURE Matte PLA 1.75mm, 1kg</t>
        </is>
      </c>
      <c r="C43" s="14" t="inlineStr">
        <is>
          <t>Light Blue / Navy Blue</t>
        </is>
      </c>
      <c r="D43" s="15" t="n">
        <v>18.99</v>
      </c>
      <c r="E43" s="15" t="n">
        <v>23.99</v>
      </c>
      <c r="F43" s="16" t="str">
        <f>IF(OR(D43="",E43=""),"",TEXT(E43-D43,"$0.00")&amp;" ("&amp;TEXT(IF(E43=0,0,1-D43/E43),"0%")&amp;")")</f>
        <v>$5.00 (21%)</v>
      </c>
      <c r="G43" s="17" t="inlineStr">
        <is>
          <t>Overture official store — In stock</t>
        </is>
      </c>
      <c r="H43" s="18" t="inlineStr">
        <is>
          <t>Open</t>
        </is>
      </c>
      <c r="I43" s="26" t="n">
        <v>0</v>
      </c>
      <c r="J43" s="27" t="n">
        <v>1</v>
      </c>
      <c r="K43" s="26" t="n">
        <f>IF(OR(D43="",J43=""),"",(D43+IF(I43="",0,I43))/J43)</f>
        <v>18.99</v>
      </c>
      <c r="L43" s="26" t="n">
        <v>19</v>
      </c>
      <c r="M43" s="27" t="str">
        <f>IF(OR(K43="",L43=""),"",IF(IFERROR(SEARCH("Out of stock",G43),0)&gt;0,"— (out of stock)",IF(K43&lt;=L43,"★ BUY NOW","—")))</f>
        <v>★ BUY NOW</v>
      </c>
      <c r="N43" s="14" t="inlineStr">
        <is>
          <t>Light Blue and Navy Blue at $18.99; plain Blue variant was $20.89 on the product page.</t>
        </is>
      </c>
    </row>
    <row r="44" ht="30" customHeight="1">
      <c r="A44" s="14" t="inlineStr">
        <is>
          <t>Overture</t>
        </is>
      </c>
      <c r="B44" s="14" t="inlineStr">
        <is>
          <t>OVERTURE Matte PLA 1.75mm, 1kg</t>
        </is>
      </c>
      <c r="C44" s="14" t="inlineStr">
        <is>
          <t>Blue</t>
        </is>
      </c>
      <c r="D44" s="15" t="n">
        <v>20.89</v>
      </c>
      <c r="E44" s="15" t="n">
        <v>23.99</v>
      </c>
      <c r="F44" s="16" t="str">
        <f>IF(OR(D44="",E44=""),"",TEXT(E44-D44,"$0.00")&amp;" ("&amp;TEXT(IF(E44=0,0,1-D44/E44),"0%")&amp;")")</f>
        <v>$3.10 (13%)</v>
      </c>
      <c r="G44" s="17" t="inlineStr">
        <is>
          <t>Overture official store — In stock</t>
        </is>
      </c>
      <c r="H44" s="18" t="inlineStr">
        <is>
          <t>Open</t>
        </is>
      </c>
      <c r="I44" s="26" t="n">
        <v>0</v>
      </c>
      <c r="J44" s="27" t="n">
        <v>1</v>
      </c>
      <c r="K44" s="26" t="n">
        <f>IF(OR(D44="",J44=""),"",(D44+IF(I44="",0,I44))/J44)</f>
        <v>20.89</v>
      </c>
      <c r="L44" s="26" t="n">
        <v>19</v>
      </c>
      <c r="M44" s="27" t="str">
        <f>IF(OR(K44="",L44=""),"",IF(IFERROR(SEARCH("Out of stock",G44),0)&gt;0,"— (out of stock)",IF(K44&lt;=L44,"★ BUY NOW","—")))</f>
        <v>—</v>
      </c>
      <c r="N44" s="14" t="inlineStr">
        <is>
          <t>Plain Blue costs more than Light/Navy Blue on Overture's page.</t>
        </is>
      </c>
    </row>
    <row r="45" ht="60" customHeight="1">
      <c r="A45" s="14" t="inlineStr">
        <is>
          <t>SUNLU</t>
        </is>
      </c>
      <c r="B45" s="14" t="inlineStr">
        <is>
          <t>SUNLU Matte PLA 1kg</t>
        </is>
      </c>
      <c r="C45" s="14" t="inlineStr">
        <is>
          <t>Matte Blue / Ocean Blue</t>
        </is>
      </c>
      <c r="D45" s="15" t="n">
        <v>18.99</v>
      </c>
      <c r="E45" s="15" t="n"/>
      <c r="F45" s="16" t="str">
        <f>IF(OR(D45="",E45=""),"",TEXT(E45-D45,"$0.00")&amp;" ("&amp;TEXT(IF(E45=0,0,1-D45/E45),"0%")&amp;")")</f>
        <v/>
      </c>
      <c r="G45" s="14" t="inlineStr">
        <is>
          <t>Amazon — Check on Amazon</t>
        </is>
      </c>
      <c r="H45" s="18" t="inlineStr">
        <is>
          <t>Open</t>
        </is>
      </c>
      <c r="I45" s="26" t="n">
        <v>0</v>
      </c>
      <c r="J45" s="27" t="n">
        <v>1</v>
      </c>
      <c r="K45" s="26" t="n">
        <f>IF(OR(D45="",J45=""),"",(D45+IF(I45="",0,I45))/J45)</f>
        <v>18.99</v>
      </c>
      <c r="L45" s="26" t="n">
        <v>15</v>
      </c>
      <c r="M45" s="27" t="str">
        <f>IF(OR(K45="",L45=""),"",IF(IFERROR(SEARCH("Out of stock",G45),0)&gt;0,"— (out of stock)",IF(K45&lt;=L45,"★ BUY NOW","—")))</f>
        <v>—</v>
      </c>
      <c r="N45" s="14" t="inlineStr">
        <is>
          <t>SUNLU matte blues include Blue, Ocean Blue, Powder/Light Blue and Klein Blue. Search-index price $18.99 — confirm shade before buying.</t>
        </is>
      </c>
    </row>
    <row r="46" ht="45" customHeight="1">
      <c r="A46" s="14" t="inlineStr">
        <is>
          <t>Elegoo</t>
        </is>
      </c>
      <c r="B46" s="14" t="inlineStr">
        <is>
          <t>ELEGOO Matte PLA 1.75mm</t>
        </is>
      </c>
      <c r="C46" s="14" t="inlineStr">
        <is>
          <t>Navy Blue / Cobalt Blue</t>
        </is>
      </c>
      <c r="D46" s="15" t="n"/>
      <c r="E46" s="15" t="n"/>
      <c r="F46" s="16" t="str">
        <f>IF(OR(D46="",E46=""),"",TEXT(E46-D46,"$0.00")&amp;" ("&amp;TEXT(IF(E46=0,0,1-D46/E46),"0%")&amp;")")</f>
        <v/>
      </c>
      <c r="G46" s="14" t="inlineStr">
        <is>
          <t>Amazon — Check on Amazon</t>
        </is>
      </c>
      <c r="H46" s="18" t="inlineStr">
        <is>
          <t>Open</t>
        </is>
      </c>
      <c r="I46" s="26" t="n">
        <v>0</v>
      </c>
      <c r="J46" s="27" t="n">
        <v>1</v>
      </c>
      <c r="K46" s="26" t="str">
        <f>IF(OR(D46="",J46=""),"",(D46+IF(I46="",0,I46))/J46)</f>
        <v/>
      </c>
      <c r="L46" s="26" t="n">
        <v>14</v>
      </c>
      <c r="M46" s="27" t="str">
        <f>IF(OR(K46="",L46=""),"",IF(IFERROR(SEARCH("Out of stock",G46),0)&gt;0,"— (out of stock)",IF(K46&lt;=L46,"★ BUY NOW","—")))</f>
        <v/>
      </c>
      <c r="N46" s="14" t="inlineStr">
        <is>
          <t>Appears in matte refill bundles — no verified single-spool price today.</t>
        </is>
      </c>
    </row>
    <row r="47" ht="45" customHeight="1">
      <c r="A47" s="14" t="inlineStr">
        <is>
          <t>Bambu Lab</t>
        </is>
      </c>
      <c r="B47" s="14" t="inlineStr">
        <is>
          <t>Bambu Lab PLA Matte 1.75mm, 1kg — Refill</t>
        </is>
      </c>
      <c r="C47" s="14" t="inlineStr">
        <is>
          <t>Marine Blue / Dark Blue / Ice Blue / Sky Blue</t>
        </is>
      </c>
      <c r="D47" s="15" t="n">
        <v>19.99</v>
      </c>
      <c r="E47" s="15" t="n">
        <v>19.99</v>
      </c>
      <c r="F47" s="16" t="str">
        <f>IF(OR(D47="",E47=""),"",TEXT(E47-D47,"$0.00")&amp;" ("&amp;TEXT(IF(E47=0,0,1-D47/E47),"0%")&amp;")")</f>
        <v>$0.00 (0%)</v>
      </c>
      <c r="G47" s="14" t="inlineStr">
        <is>
          <t>Bambu Lab US Store — Check on Bambu store</t>
        </is>
      </c>
      <c r="H47" s="18" t="inlineStr">
        <is>
          <t>Open</t>
        </is>
      </c>
      <c r="I47" s="26" t="n">
        <v>0</v>
      </c>
      <c r="J47" s="27" t="n">
        <v>1</v>
      </c>
      <c r="K47" s="26" t="n">
        <f>IF(OR(D47="",J47=""),"",(D47+IF(I47="",0,I47))/J47)</f>
        <v>19.99</v>
      </c>
      <c r="L47" s="26" t="n">
        <v>20</v>
      </c>
      <c r="M47" s="27" t="str">
        <f>IF(OR(K47="",L47=""),"",IF(IFERROR(SEARCH("Out of stock",G47),0)&gt;0,"— (out of stock)",IF(K47&lt;=L47,"★ BUY NOW","—")))</f>
        <v>★ BUY NOW</v>
      </c>
      <c r="N47" s="14" t="inlineStr">
        <is>
          <t>Four blues at same price. With spool: $22.99.</t>
        </is>
      </c>
    </row>
    <row r="48" ht="45" customHeight="1">
      <c r="A48" s="14" t="inlineStr">
        <is>
          <t>Creality</t>
        </is>
      </c>
      <c r="B48" s="14" t="inlineStr">
        <is>
          <t>Creality CR-PLA Matte 1.75mm, 1kg</t>
        </is>
      </c>
      <c r="C48" s="14" t="inlineStr">
        <is>
          <t>Navy Blue</t>
        </is>
      </c>
      <c r="D48" s="15" t="n"/>
      <c r="E48" s="15" t="n"/>
      <c r="F48" s="16" t="str">
        <f>IF(OR(D48="",E48=""),"",TEXT(E48-D48,"$0.00")&amp;" ("&amp;TEXT(IF(E48=0,0,1-D48/E48),"0%")&amp;")")</f>
        <v/>
      </c>
      <c r="G48" s="14" t="inlineStr">
        <is>
          <t>Creality / retailers — Check retailer</t>
        </is>
      </c>
      <c r="H48" s="18" t="inlineStr">
        <is>
          <t>Open</t>
        </is>
      </c>
      <c r="I48" s="26" t="n">
        <v>0</v>
      </c>
      <c r="J48" s="27" t="n">
        <v>1</v>
      </c>
      <c r="K48" s="26" t="str">
        <f>IF(OR(D48="",J48=""),"",(D48+IF(I48="",0,I48))/J48)</f>
        <v/>
      </c>
      <c r="L48" s="26" t="n">
        <v>16</v>
      </c>
      <c r="M48" s="27" t="str">
        <f>IF(OR(K48="",L48=""),"",IF(IFERROR(SEARCH("Out of stock",G48),0)&gt;0,"— (out of stock)",IF(K48&lt;=L48,"★ BUY NOW","—")))</f>
        <v/>
      </c>
      <c r="N48" s="14" t="inlineStr">
        <is>
          <t>CR-PLA Matte colour list includes Navy Blue. No verified US price in this check.</t>
        </is>
      </c>
    </row>
    <row r="49" ht="22" customHeight="1">
      <c r="A49" s="10" t="inlineStr">
        <is>
          <t>MATTE — GREEN  (6 listings)</t>
        </is>
      </c>
      <c r="B49" s="24" t="n"/>
      <c r="C49" s="24" t="n"/>
      <c r="D49" s="24" t="n"/>
      <c r="E49" s="24" t="n"/>
      <c r="F49" s="24" t="n"/>
      <c r="G49" s="24" t="n"/>
      <c r="H49" s="24" t="n"/>
      <c r="I49" s="24" t="n"/>
      <c r="J49" s="24" t="n"/>
      <c r="K49" s="24" t="n"/>
      <c r="L49" s="24" t="n"/>
      <c r="M49" s="24" t="n"/>
      <c r="N49" s="25" t="n"/>
    </row>
    <row r="50" ht="36" customHeight="1">
      <c r="A50" s="12" t="inlineStr">
        <is>
          <t>GREEN: Overture and Bambu each offer 3+ matte greens at a flat colour price. Creality's only matte green is Avocado Green.</t>
        </is>
      </c>
      <c r="B50" s="24" t="n"/>
      <c r="C50" s="24" t="n"/>
      <c r="D50" s="24" t="n"/>
      <c r="E50" s="24" t="n"/>
      <c r="F50" s="24" t="n"/>
      <c r="G50" s="24" t="n"/>
      <c r="H50" s="24" t="n"/>
      <c r="I50" s="24" t="n"/>
      <c r="J50" s="24" t="n"/>
      <c r="K50" s="24" t="n"/>
      <c r="L50" s="24" t="n"/>
      <c r="M50" s="24" t="n"/>
      <c r="N50" s="25" t="n"/>
    </row>
    <row r="51" ht="30" customHeight="1">
      <c r="A51" s="14" t="inlineStr">
        <is>
          <t>Inland (Micro Center)</t>
        </is>
      </c>
      <c r="B51" s="14" t="inlineStr">
        <is>
          <t>Inland Matte PLA 1.75mm, 1kg</t>
        </is>
      </c>
      <c r="C51" s="14" t="inlineStr">
        <is>
          <t>Matte Green (shade varies)</t>
        </is>
      </c>
      <c r="D51" s="15" t="n">
        <v>13.99</v>
      </c>
      <c r="E51" s="15" t="n"/>
      <c r="F51" s="16" t="str">
        <f>IF(OR(D51="",E51=""),"",TEXT(E51-D51,"$0.00")&amp;" ("&amp;TEXT(IF(E51=0,0,1-D51/E51),"0%")&amp;")")</f>
        <v/>
      </c>
      <c r="G51" s="14" t="inlineStr">
        <is>
          <t>Micro Center — Check in store</t>
        </is>
      </c>
      <c r="H51" s="18" t="inlineStr">
        <is>
          <t>Open</t>
        </is>
      </c>
      <c r="I51" s="26" t="n">
        <v>0</v>
      </c>
      <c r="J51" s="27" t="n">
        <v>1</v>
      </c>
      <c r="K51" s="26" t="n">
        <f>IF(OR(D51="",J51=""),"",(D51+IF(I51="",0,I51))/J51)</f>
        <v>13.99</v>
      </c>
      <c r="L51" s="26" t="n">
        <v>15</v>
      </c>
      <c r="M51" s="27" t="str">
        <f>IF(OR(K51="",L51=""),"",IF(IFERROR(SEARCH("Out of stock",G51),0)&gt;0,"— (out of stock)",IF(K51&lt;=L51,"★ BUY NOW","—")))</f>
        <v>★ BUY NOW</v>
      </c>
      <c r="N51" s="14" t="inlineStr">
        <is>
          <t>Confirm exact matte green shade/availability in store.</t>
        </is>
      </c>
    </row>
    <row r="52" ht="60" customHeight="1">
      <c r="A52" s="14" t="inlineStr">
        <is>
          <t>Overture</t>
        </is>
      </c>
      <c r="B52" s="14" t="inlineStr">
        <is>
          <t>OVERTURE Matte PLA 1.75mm, 1kg</t>
        </is>
      </c>
      <c r="C52" s="14" t="inlineStr">
        <is>
          <t>Grass Green / Green / Army Green</t>
        </is>
      </c>
      <c r="D52" s="15" t="n">
        <v>18.99</v>
      </c>
      <c r="E52" s="15" t="n">
        <v>23.99</v>
      </c>
      <c r="F52" s="16" t="str">
        <f>IF(OR(D52="",E52=""),"",TEXT(E52-D52,"$0.00")&amp;" ("&amp;TEXT(IF(E52=0,0,1-D52/E52),"0%")&amp;")")</f>
        <v>$5.00 (21%)</v>
      </c>
      <c r="G52" s="17" t="inlineStr">
        <is>
          <t>Overture official store — In stock</t>
        </is>
      </c>
      <c r="H52" s="18" t="inlineStr">
        <is>
          <t>Open</t>
        </is>
      </c>
      <c r="I52" s="26" t="n">
        <v>0</v>
      </c>
      <c r="J52" s="27" t="n">
        <v>1</v>
      </c>
      <c r="K52" s="26" t="n">
        <f>IF(OR(D52="",J52=""),"",(D52+IF(I52="",0,I52))/J52)</f>
        <v>18.99</v>
      </c>
      <c r="L52" s="26" t="n">
        <v>19</v>
      </c>
      <c r="M52" s="27" t="str">
        <f>IF(OR(K52="",L52=""),"",IF(IFERROR(SEARCH("Out of stock",G52),0)&gt;0,"— (out of stock)",IF(K52&lt;=L52,"★ BUY NOW","—")))</f>
        <v>★ BUY NOW</v>
      </c>
      <c r="N52" s="14" t="inlineStr">
        <is>
          <t>All three greens at $18.99; Light Green variant was $20.89 and Bamboo Green $18.99 on the product page.</t>
        </is>
      </c>
    </row>
    <row r="53" ht="45" customHeight="1">
      <c r="A53" s="14" t="inlineStr">
        <is>
          <t>SUNLU</t>
        </is>
      </c>
      <c r="B53" s="14" t="inlineStr">
        <is>
          <t>SUNLU Matte PLA 1kg</t>
        </is>
      </c>
      <c r="C53" s="14" t="inlineStr">
        <is>
          <t>Matte Green / Olive Green</t>
        </is>
      </c>
      <c r="D53" s="15" t="n">
        <v>18.99</v>
      </c>
      <c r="E53" s="15" t="n"/>
      <c r="F53" s="16" t="str">
        <f>IF(OR(D53="",E53=""),"",TEXT(E53-D53,"$0.00")&amp;" ("&amp;TEXT(IF(E53=0,0,1-D53/E53),"0%")&amp;")")</f>
        <v/>
      </c>
      <c r="G53" s="14" t="inlineStr">
        <is>
          <t>Amazon — Check on Amazon</t>
        </is>
      </c>
      <c r="H53" s="18" t="inlineStr">
        <is>
          <t>Open</t>
        </is>
      </c>
      <c r="I53" s="26" t="n">
        <v>0</v>
      </c>
      <c r="J53" s="27" t="n">
        <v>1</v>
      </c>
      <c r="K53" s="26" t="n">
        <f>IF(OR(D53="",J53=""),"",(D53+IF(I53="",0,I53))/J53)</f>
        <v>18.99</v>
      </c>
      <c r="L53" s="26" t="n">
        <v>15</v>
      </c>
      <c r="M53" s="27" t="str">
        <f>IF(OR(K53="",L53=""),"",IF(IFERROR(SEARCH("Out of stock",G53),0)&gt;0,"— (out of stock)",IF(K53&lt;=L53,"★ BUY NOW","—")))</f>
        <v>—</v>
      </c>
      <c r="N53" s="14" t="inlineStr">
        <is>
          <t>Search-index prices: Matte Green $18.99, Olive Green $19.99 — confirm before buying.</t>
        </is>
      </c>
    </row>
    <row r="54" ht="45" customHeight="1">
      <c r="A54" s="14" t="inlineStr">
        <is>
          <t>Elegoo</t>
        </is>
      </c>
      <c r="B54" s="14" t="inlineStr">
        <is>
          <t>ELEGOO Matte PLA 1.75mm</t>
        </is>
      </c>
      <c r="C54" s="14" t="inlineStr">
        <is>
          <t>Mint Green / Apple Green</t>
        </is>
      </c>
      <c r="D54" s="15" t="n"/>
      <c r="E54" s="15" t="n"/>
      <c r="F54" s="16" t="str">
        <f>IF(OR(D54="",E54=""),"",TEXT(E54-D54,"$0.00")&amp;" ("&amp;TEXT(IF(E54=0,0,1-D54/E54),"0%")&amp;")")</f>
        <v/>
      </c>
      <c r="G54" s="14" t="inlineStr">
        <is>
          <t>Amazon — Check on Amazon</t>
        </is>
      </c>
      <c r="H54" s="18" t="inlineStr">
        <is>
          <t>Open</t>
        </is>
      </c>
      <c r="I54" s="26" t="n">
        <v>0</v>
      </c>
      <c r="J54" s="27" t="n">
        <v>1</v>
      </c>
      <c r="K54" s="26" t="str">
        <f>IF(OR(D54="",J54=""),"",(D54+IF(I54="",0,I54))/J54)</f>
        <v/>
      </c>
      <c r="L54" s="26" t="n">
        <v>14</v>
      </c>
      <c r="M54" s="27" t="str">
        <f>IF(OR(K54="",L54=""),"",IF(IFERROR(SEARCH("Out of stock",G54),0)&gt;0,"— (out of stock)",IF(K54&lt;=L54,"★ BUY NOW","—")))</f>
        <v/>
      </c>
      <c r="N54" s="14" t="inlineStr">
        <is>
          <t>Appears in matte refill bundles — no verified single-spool price today.</t>
        </is>
      </c>
    </row>
    <row r="55" ht="45" customHeight="1">
      <c r="A55" s="14" t="inlineStr">
        <is>
          <t>Bambu Lab</t>
        </is>
      </c>
      <c r="B55" s="14" t="inlineStr">
        <is>
          <t>Bambu Lab PLA Matte 1.75mm, 1kg — Refill</t>
        </is>
      </c>
      <c r="C55" s="14" t="inlineStr">
        <is>
          <t>Grass Green / Dark Green / Apple Green</t>
        </is>
      </c>
      <c r="D55" s="15" t="n">
        <v>19.99</v>
      </c>
      <c r="E55" s="15" t="n">
        <v>19.99</v>
      </c>
      <c r="F55" s="16" t="str">
        <f>IF(OR(D55="",E55=""),"",TEXT(E55-D55,"$0.00")&amp;" ("&amp;TEXT(IF(E55=0,0,1-D55/E55),"0%")&amp;")")</f>
        <v>$0.00 (0%)</v>
      </c>
      <c r="G55" s="14" t="inlineStr">
        <is>
          <t>Bambu Lab US Store — Check on Bambu store</t>
        </is>
      </c>
      <c r="H55" s="18" t="inlineStr">
        <is>
          <t>Open</t>
        </is>
      </c>
      <c r="I55" s="26" t="n">
        <v>0</v>
      </c>
      <c r="J55" s="27" t="n">
        <v>1</v>
      </c>
      <c r="K55" s="26" t="n">
        <f>IF(OR(D55="",J55=""),"",(D55+IF(I55="",0,I55))/J55)</f>
        <v>19.99</v>
      </c>
      <c r="L55" s="26" t="n">
        <v>20</v>
      </c>
      <c r="M55" s="27" t="str">
        <f>IF(OR(K55="",L55=""),"",IF(IFERROR(SEARCH("Out of stock",G55),0)&gt;0,"— (out of stock)",IF(K55&lt;=L55,"★ BUY NOW","—")))</f>
        <v>★ BUY NOW</v>
      </c>
      <c r="N55" s="14" t="inlineStr">
        <is>
          <t>Three greens at same price. With spool: $22.99.</t>
        </is>
      </c>
    </row>
    <row r="56" ht="45" customHeight="1">
      <c r="A56" s="14" t="inlineStr">
        <is>
          <t>Creality</t>
        </is>
      </c>
      <c r="B56" s="14" t="inlineStr">
        <is>
          <t>Creality CR-PLA Matte 1.75mm, 1kg</t>
        </is>
      </c>
      <c r="C56" s="14" t="inlineStr">
        <is>
          <t>Avocado Green</t>
        </is>
      </c>
      <c r="D56" s="15" t="n"/>
      <c r="E56" s="15" t="n"/>
      <c r="F56" s="16" t="str">
        <f>IF(OR(D56="",E56=""),"",TEXT(E56-D56,"$0.00")&amp;" ("&amp;TEXT(IF(E56=0,0,1-D56/E56),"0%")&amp;")")</f>
        <v/>
      </c>
      <c r="G56" s="14" t="inlineStr">
        <is>
          <t>Creality / retailers — Check retailer</t>
        </is>
      </c>
      <c r="H56" s="18" t="inlineStr">
        <is>
          <t>Open</t>
        </is>
      </c>
      <c r="I56" s="26" t="n">
        <v>0</v>
      </c>
      <c r="J56" s="27" t="n">
        <v>1</v>
      </c>
      <c r="K56" s="26" t="str">
        <f>IF(OR(D56="",J56=""),"",(D56+IF(I56="",0,I56))/J56)</f>
        <v/>
      </c>
      <c r="L56" s="26" t="n">
        <v>16</v>
      </c>
      <c r="M56" s="27" t="str">
        <f>IF(OR(K56="",L56=""),"",IF(IFERROR(SEARCH("Out of stock",G56),0)&gt;0,"— (out of stock)",IF(K56&lt;=L56,"★ BUY NOW","—")))</f>
        <v/>
      </c>
      <c r="N56" s="14" t="inlineStr">
        <is>
          <t>CR-PLA Matte colour list includes Avocado Green. No verified US price in this check.</t>
        </is>
      </c>
    </row>
    <row r="57" ht="22" customHeight="1">
      <c r="A57" s="10" t="inlineStr">
        <is>
          <t>MATTE — BROWN &amp; TAN  (7 listings)</t>
        </is>
      </c>
      <c r="B57" s="24" t="n"/>
      <c r="C57" s="24" t="n"/>
      <c r="D57" s="24" t="n"/>
      <c r="E57" s="24" t="n"/>
      <c r="F57" s="24" t="n"/>
      <c r="G57" s="24" t="n"/>
      <c r="H57" s="24" t="n"/>
      <c r="I57" s="24" t="n"/>
      <c r="J57" s="24" t="n"/>
      <c r="K57" s="24" t="n"/>
      <c r="L57" s="24" t="n"/>
      <c r="M57" s="24" t="n"/>
      <c r="N57" s="25" t="n"/>
    </row>
    <row r="58" ht="36" customHeight="1">
      <c r="A58" s="12" t="inlineStr">
        <is>
          <t>BROWN &amp; TAN: Best value is Inland Matte Wood Brown at $13.99 (verified). Overture Chocolate at $16.99 is the cheapest Overture colour anywhere on the sheet.</t>
        </is>
      </c>
      <c r="B58" s="24" t="n"/>
      <c r="C58" s="24" t="n"/>
      <c r="D58" s="24" t="n"/>
      <c r="E58" s="24" t="n"/>
      <c r="F58" s="24" t="n"/>
      <c r="G58" s="24" t="n"/>
      <c r="H58" s="24" t="n"/>
      <c r="I58" s="24" t="n"/>
      <c r="J58" s="24" t="n"/>
      <c r="K58" s="24" t="n"/>
      <c r="L58" s="24" t="n"/>
      <c r="M58" s="24" t="n"/>
      <c r="N58" s="25" t="n"/>
    </row>
    <row r="59" ht="60" customHeight="1">
      <c r="A59" s="14" t="inlineStr">
        <is>
          <t>Inland (Micro Center)</t>
        </is>
      </c>
      <c r="B59" s="14" t="inlineStr">
        <is>
          <t>Inland Matte PLA 1.75mm, 1kg Cardboard Spool</t>
        </is>
      </c>
      <c r="C59" s="14" t="inlineStr">
        <is>
          <t>Matte Wood Brown</t>
        </is>
      </c>
      <c r="D59" s="15" t="n">
        <v>13.99</v>
      </c>
      <c r="E59" s="15" t="n"/>
      <c r="F59" s="16" t="str">
        <f>IF(OR(D59="",E59=""),"",TEXT(E59-D59,"$0.00")&amp;" ("&amp;TEXT(IF(E59=0,0,1-D59/E59),"0%")&amp;")")</f>
        <v/>
      </c>
      <c r="G59" s="17" t="inlineStr">
        <is>
          <t>Micro Center — In stock — listed</t>
        </is>
      </c>
      <c r="H59" s="18" t="inlineStr">
        <is>
          <t>Open</t>
        </is>
      </c>
      <c r="I59" s="26" t="n">
        <v>0</v>
      </c>
      <c r="J59" s="27" t="n">
        <v>1</v>
      </c>
      <c r="K59" s="26" t="n">
        <f>IF(OR(D59="",J59=""),"",(D59+IF(I59="",0,I59))/J59)</f>
        <v>13.99</v>
      </c>
      <c r="L59" s="26" t="n">
        <v>15</v>
      </c>
      <c r="M59" s="27" t="str">
        <f>IF(OR(K59="",L59=""),"",IF(IFERROR(SEARCH("Out of stock",G59),0)&gt;0,"— (out of stock)",IF(K59&lt;=L59,"★ BUY NOW","—")))</f>
        <v>★ BUY NOW</v>
      </c>
      <c r="N59" s="14" t="inlineStr">
        <is>
          <t>Verified product page at $13.99. Other Inland matte browns (e.g. Matte Chocolate) were also $13.99 in search results.</t>
        </is>
      </c>
    </row>
    <row r="60" ht="45" customHeight="1">
      <c r="A60" s="14" t="inlineStr">
        <is>
          <t>Overture</t>
        </is>
      </c>
      <c r="B60" s="14" t="inlineStr">
        <is>
          <t>OVERTURE Matte PLA 1.75mm, 1kg</t>
        </is>
      </c>
      <c r="C60" s="14" t="inlineStr">
        <is>
          <t>Chocolate</t>
        </is>
      </c>
      <c r="D60" s="15" t="n">
        <v>16.99</v>
      </c>
      <c r="E60" s="15" t="n">
        <v>23.99</v>
      </c>
      <c r="F60" s="16" t="str">
        <f>IF(OR(D60="",E60=""),"",TEXT(E60-D60,"$0.00")&amp;" ("&amp;TEXT(IF(E60=0,0,1-D60/E60),"0%")&amp;")")</f>
        <v>$7.00 (29%)</v>
      </c>
      <c r="G60" s="17" t="inlineStr">
        <is>
          <t>Overture official store — In stock</t>
        </is>
      </c>
      <c r="H60" s="18" t="inlineStr">
        <is>
          <t>Open</t>
        </is>
      </c>
      <c r="I60" s="26" t="n">
        <v>0</v>
      </c>
      <c r="J60" s="27" t="n">
        <v>1</v>
      </c>
      <c r="K60" s="26" t="n">
        <f>IF(OR(D60="",J60=""),"",(D60+IF(I60="",0,I60))/J60)</f>
        <v>16.99</v>
      </c>
      <c r="L60" s="26" t="n">
        <v>19</v>
      </c>
      <c r="M60" s="27" t="str">
        <f>IF(OR(K60="",L60=""),"",IF(IFERROR(SEARCH("Out of stock",G60),0)&gt;0,"— (out of stock)",IF(K60&lt;=L60,"★ BUY NOW","—")))</f>
        <v>★ BUY NOW</v>
      </c>
      <c r="N60" s="14" t="inlineStr">
        <is>
          <t>Cheapest Overture matte colour on the page at $16.99. Light Brown was $17.59; Wood was $19.99.</t>
        </is>
      </c>
    </row>
    <row r="61" ht="45" customHeight="1">
      <c r="A61" s="14" t="inlineStr">
        <is>
          <t>Overture</t>
        </is>
      </c>
      <c r="B61" s="14" t="inlineStr">
        <is>
          <t>OVERTURE Matte PLA 1.75mm, 1kg</t>
        </is>
      </c>
      <c r="C61" s="14" t="inlineStr">
        <is>
          <t>Light Brown / Wood</t>
        </is>
      </c>
      <c r="D61" s="15" t="n">
        <v>17.59</v>
      </c>
      <c r="E61" s="15" t="n">
        <v>23.99</v>
      </c>
      <c r="F61" s="16" t="str">
        <f>IF(OR(D61="",E61=""),"",TEXT(E61-D61,"$0.00")&amp;" ("&amp;TEXT(IF(E61=0,0,1-D61/E61),"0%")&amp;")")</f>
        <v>$6.40 (27%)</v>
      </c>
      <c r="G61" s="17" t="inlineStr">
        <is>
          <t>Overture official store — In stock</t>
        </is>
      </c>
      <c r="H61" s="18" t="inlineStr">
        <is>
          <t>Open</t>
        </is>
      </c>
      <c r="I61" s="26" t="n">
        <v>0</v>
      </c>
      <c r="J61" s="27" t="n">
        <v>1</v>
      </c>
      <c r="K61" s="26" t="n">
        <f>IF(OR(D61="",J61=""),"",(D61+IF(I61="",0,I61))/J61)</f>
        <v>17.59</v>
      </c>
      <c r="L61" s="26" t="n">
        <v>19</v>
      </c>
      <c r="M61" s="27" t="str">
        <f>IF(OR(K61="",L61=""),"",IF(IFERROR(SEARCH("Out of stock",G61),0)&gt;0,"— (out of stock)",IF(K61&lt;=L61,"★ BUY NOW","—")))</f>
        <v>★ BUY NOW</v>
      </c>
      <c r="N61" s="14" t="inlineStr">
        <is>
          <t>Light Brown $17.59, Wood $19.99 — price shown is Light Brown; see Notes.</t>
        </is>
      </c>
    </row>
    <row r="62" ht="45" customHeight="1">
      <c r="A62" s="14" t="inlineStr">
        <is>
          <t>SUNLU</t>
        </is>
      </c>
      <c r="B62" s="14" t="inlineStr">
        <is>
          <t>SUNLU Matte PLA 1kg</t>
        </is>
      </c>
      <c r="C62" s="14" t="inlineStr">
        <is>
          <t>Matte Clay / Oak</t>
        </is>
      </c>
      <c r="D62" s="15" t="n">
        <v>18.99</v>
      </c>
      <c r="E62" s="15" t="n"/>
      <c r="F62" s="16" t="str">
        <f>IF(OR(D62="",E62=""),"",TEXT(E62-D62,"$0.00")&amp;" ("&amp;TEXT(IF(E62=0,0,1-D62/E62),"0%")&amp;")")</f>
        <v/>
      </c>
      <c r="G62" s="14" t="inlineStr">
        <is>
          <t>Amazon — Check on Amazon</t>
        </is>
      </c>
      <c r="H62" s="18" t="inlineStr">
        <is>
          <t>Open</t>
        </is>
      </c>
      <c r="I62" s="26" t="n">
        <v>0</v>
      </c>
      <c r="J62" s="27" t="n">
        <v>1</v>
      </c>
      <c r="K62" s="26" t="n">
        <f>IF(OR(D62="",J62=""),"",(D62+IF(I62="",0,I62))/J62)</f>
        <v>18.99</v>
      </c>
      <c r="L62" s="26" t="n">
        <v>15</v>
      </c>
      <c r="M62" s="27" t="str">
        <f>IF(OR(K62="",L62=""),"",IF(IFERROR(SEARCH("Out of stock",G62),0)&gt;0,"— (out of stock)",IF(K62&lt;=L62,"★ BUY NOW","—")))</f>
        <v>—</v>
      </c>
      <c r="N62" s="14" t="inlineStr">
        <is>
          <t>SUNLU's brown/tan mattes are Clay and Oak. Search-index price for Clay was $18.99 — confirm.</t>
        </is>
      </c>
    </row>
    <row r="63" ht="60" customHeight="1">
      <c r="A63" s="14" t="inlineStr">
        <is>
          <t>Elegoo</t>
        </is>
      </c>
      <c r="B63" s="14" t="inlineStr">
        <is>
          <t>ELEGOO Matte PLA 1.75mm</t>
        </is>
      </c>
      <c r="C63" s="14" t="inlineStr">
        <is>
          <t>Beige / Cocoa Brown</t>
        </is>
      </c>
      <c r="D63" s="15" t="n"/>
      <c r="E63" s="15" t="n"/>
      <c r="F63" s="16" t="str">
        <f>IF(OR(D63="",E63=""),"",TEXT(E63-D63,"$0.00")&amp;" ("&amp;TEXT(IF(E63=0,0,1-D63/E63),"0%")&amp;")")</f>
        <v/>
      </c>
      <c r="G63" s="14" t="inlineStr">
        <is>
          <t>Amazon — Check on Amazon</t>
        </is>
      </c>
      <c r="H63" s="18" t="inlineStr">
        <is>
          <t>Open</t>
        </is>
      </c>
      <c r="I63" s="26" t="n">
        <v>0</v>
      </c>
      <c r="J63" s="27" t="n">
        <v>1</v>
      </c>
      <c r="K63" s="26" t="str">
        <f>IF(OR(D63="",J63=""),"",(D63+IF(I63="",0,I63))/J63)</f>
        <v/>
      </c>
      <c r="L63" s="26" t="n">
        <v>14</v>
      </c>
      <c r="M63" s="27" t="str">
        <f>IF(OR(K63="",L63=""),"",IF(IFERROR(SEARCH("Out of stock",G63),0)&gt;0,"— (out of stock)",IF(K63&lt;=L63,"★ BUY NOW","—")))</f>
        <v/>
      </c>
      <c r="N63" s="14" t="inlineStr">
        <is>
          <t>Beige is in the 4-pack bundle on the White tab; Cocoa Brown appears in refill bundles — no verified single-spool price.</t>
        </is>
      </c>
    </row>
    <row r="64" ht="90" customHeight="1">
      <c r="A64" s="14" t="inlineStr">
        <is>
          <t>Bambu Lab</t>
        </is>
      </c>
      <c r="B64" s="14" t="inlineStr">
        <is>
          <t>Bambu Lab PLA Matte 1.75mm, 1kg — Refill</t>
        </is>
      </c>
      <c r="C64" s="14" t="inlineStr">
        <is>
          <t>Latte Brown / Dark Brown / Dark Chocolate / Caramel / Terracotta / Desert Tan</t>
        </is>
      </c>
      <c r="D64" s="15" t="n">
        <v>19.99</v>
      </c>
      <c r="E64" s="15" t="n">
        <v>19.99</v>
      </c>
      <c r="F64" s="16" t="str">
        <f>IF(OR(D64="",E64=""),"",TEXT(E64-D64,"$0.00")&amp;" ("&amp;TEXT(IF(E64=0,0,1-D64/E64),"0%")&amp;")")</f>
        <v>$0.00 (0%)</v>
      </c>
      <c r="G64" s="14" t="inlineStr">
        <is>
          <t>Bambu Lab US Store — Check on Bambu store</t>
        </is>
      </c>
      <c r="H64" s="18" t="inlineStr">
        <is>
          <t>Open</t>
        </is>
      </c>
      <c r="I64" s="26" t="n">
        <v>0</v>
      </c>
      <c r="J64" s="27" t="n">
        <v>1</v>
      </c>
      <c r="K64" s="26" t="n">
        <f>IF(OR(D64="",J64=""),"",(D64+IF(I64="",0,I64))/J64)</f>
        <v>19.99</v>
      </c>
      <c r="L64" s="26" t="n">
        <v>20</v>
      </c>
      <c r="M64" s="27" t="str">
        <f>IF(OR(K64="",L64=""),"",IF(IFERROR(SEARCH("Out of stock",G64),0)&gt;0,"— (out of stock)",IF(K64&lt;=L64,"★ BUY NOW","—")))</f>
        <v>★ BUY NOW</v>
      </c>
      <c r="N64" s="14" t="inlineStr">
        <is>
          <t>Widest brown/tan range of any brand here — all $19.99 refill / $22.99 with spool.</t>
        </is>
      </c>
    </row>
    <row r="65" ht="30" customHeight="1">
      <c r="A65" s="14" t="inlineStr">
        <is>
          <t>Creality</t>
        </is>
      </c>
      <c r="B65" s="14" t="inlineStr">
        <is>
          <t>Creality CR-PLA Matte 1.75mm, 1kg</t>
        </is>
      </c>
      <c r="C65" s="14" t="inlineStr">
        <is>
          <t>— (no brown/tan matte found)</t>
        </is>
      </c>
      <c r="D65" s="15" t="n"/>
      <c r="E65" s="15" t="n"/>
      <c r="F65" s="16" t="str">
        <f>IF(OR(D65="",E65=""),"",TEXT(E65-D65,"$0.00")&amp;" ("&amp;TEXT(IF(E65=0,0,1-D65/E65),"0%")&amp;")")</f>
        <v/>
      </c>
      <c r="G65" s="14" t="inlineStr">
        <is>
          <t>Creality / retailers — Not found</t>
        </is>
      </c>
      <c r="H65" s="18" t="inlineStr">
        <is>
          <t>Open</t>
        </is>
      </c>
      <c r="I65" s="26" t="n">
        <v>0</v>
      </c>
      <c r="J65" s="27" t="n">
        <v>1</v>
      </c>
      <c r="K65" s="26" t="str">
        <f>IF(OR(D65="",J65=""),"",(D65+IF(I65="",0,I65))/J65)</f>
        <v/>
      </c>
      <c r="L65" s="26" t="n">
        <v>16</v>
      </c>
      <c r="M65" s="27" t="str">
        <f>IF(OR(K65="",L65=""),"",IF(IFERROR(SEARCH("Out of stock",G65),0)&gt;0,"— (out of stock)",IF(K65&lt;=L65,"★ BUY NOW","—")))</f>
        <v/>
      </c>
      <c r="N65" s="14" t="inlineStr">
        <is>
          <t>CR-PLA Matte list found in this check has no brown/tan shade.</t>
        </is>
      </c>
    </row>
    <row r="66" ht="22" customHeight="1">
      <c r="A66" s="10" t="inlineStr">
        <is>
          <t>MATTE — YELLOW &amp; ORANGE  (6 listings)</t>
        </is>
      </c>
      <c r="B66" s="24" t="n"/>
      <c r="C66" s="24" t="n"/>
      <c r="D66" s="24" t="n"/>
      <c r="E66" s="24" t="n"/>
      <c r="F66" s="24" t="n"/>
      <c r="G66" s="24" t="n"/>
      <c r="H66" s="24" t="n"/>
      <c r="I66" s="24" t="n"/>
      <c r="J66" s="24" t="n"/>
      <c r="K66" s="24" t="n"/>
      <c r="L66" s="24" t="n"/>
      <c r="M66" s="24" t="n"/>
      <c r="N66" s="25" t="n"/>
    </row>
    <row r="67" ht="36" customHeight="1">
      <c r="A67" s="12" t="inlineStr">
        <is>
          <t>YELLOW &amp; ORANGE: Inland Matte Banana / Matte Orange at $13.99 are the cheapest here. Creality CR-PLA Matte has no yellow/orange in the list found.</t>
        </is>
      </c>
      <c r="B67" s="24" t="n"/>
      <c r="C67" s="24" t="n"/>
      <c r="D67" s="24" t="n"/>
      <c r="E67" s="24" t="n"/>
      <c r="F67" s="24" t="n"/>
      <c r="G67" s="24" t="n"/>
      <c r="H67" s="24" t="n"/>
      <c r="I67" s="24" t="n"/>
      <c r="J67" s="24" t="n"/>
      <c r="K67" s="24" t="n"/>
      <c r="L67" s="24" t="n"/>
      <c r="M67" s="24" t="n"/>
      <c r="N67" s="25" t="n"/>
    </row>
    <row r="68" ht="45" customHeight="1">
      <c r="A68" s="14" t="inlineStr">
        <is>
          <t>Inland (Micro Center)</t>
        </is>
      </c>
      <c r="B68" s="14" t="inlineStr">
        <is>
          <t>Inland Matte PLA 1.75mm, 1kg</t>
        </is>
      </c>
      <c r="C68" s="14" t="inlineStr">
        <is>
          <t>Matte Banana / Matte Orange</t>
        </is>
      </c>
      <c r="D68" s="15" t="n">
        <v>13.99</v>
      </c>
      <c r="E68" s="15" t="n"/>
      <c r="F68" s="16" t="str">
        <f>IF(OR(D68="",E68=""),"",TEXT(E68-D68,"$0.00")&amp;" ("&amp;TEXT(IF(E68=0,0,1-D68/E68),"0%")&amp;")")</f>
        <v/>
      </c>
      <c r="G68" s="17" t="inlineStr">
        <is>
          <t>Micro Center — In stock — listed</t>
        </is>
      </c>
      <c r="H68" s="18" t="inlineStr">
        <is>
          <t>Open</t>
        </is>
      </c>
      <c r="I68" s="26" t="n">
        <v>0</v>
      </c>
      <c r="J68" s="27" t="n">
        <v>1</v>
      </c>
      <c r="K68" s="26" t="n">
        <f>IF(OR(D68="",J68=""),"",(D68+IF(I68="",0,I68))/J68)</f>
        <v>13.99</v>
      </c>
      <c r="L68" s="26" t="n">
        <v>15</v>
      </c>
      <c r="M68" s="27" t="str">
        <f>IF(OR(K68="",L68=""),"",IF(IFERROR(SEARCH("Out of stock",G68),0)&gt;0,"— (out of stock)",IF(K68&lt;=L68,"★ BUY NOW","—")))</f>
        <v>★ BUY NOW</v>
      </c>
      <c r="N68" s="14" t="inlineStr">
        <is>
          <t>Matte Banana and Matte Orange were $13.99 in Micro Center search results in the earlier check.</t>
        </is>
      </c>
    </row>
    <row r="69" ht="45" customHeight="1">
      <c r="A69" s="14" t="inlineStr">
        <is>
          <t>Overture</t>
        </is>
      </c>
      <c r="B69" s="14" t="inlineStr">
        <is>
          <t>OVERTURE Matte PLA 1.75mm, 1kg</t>
        </is>
      </c>
      <c r="C69" s="14" t="inlineStr">
        <is>
          <t>Yellow / Butter Yellow / Orange</t>
        </is>
      </c>
      <c r="D69" s="15" t="n">
        <v>18.99</v>
      </c>
      <c r="E69" s="15" t="n">
        <v>23.99</v>
      </c>
      <c r="F69" s="16" t="str">
        <f>IF(OR(D69="",E69=""),"",TEXT(E69-D69,"$0.00")&amp;" ("&amp;TEXT(IF(E69=0,0,1-D69/E69),"0%")&amp;")")</f>
        <v>$5.00 (21%)</v>
      </c>
      <c r="G69" s="17" t="inlineStr">
        <is>
          <t>Overture official store — In stock</t>
        </is>
      </c>
      <c r="H69" s="18" t="inlineStr">
        <is>
          <t>Open</t>
        </is>
      </c>
      <c r="I69" s="26" t="n">
        <v>0</v>
      </c>
      <c r="J69" s="27" t="n">
        <v>1</v>
      </c>
      <c r="K69" s="26" t="n">
        <f>IF(OR(D69="",J69=""),"",(D69+IF(I69="",0,I69))/J69)</f>
        <v>18.99</v>
      </c>
      <c r="L69" s="26" t="n">
        <v>19</v>
      </c>
      <c r="M69" s="27" t="str">
        <f>IF(OR(K69="",L69=""),"",IF(IFERROR(SEARCH("Out of stock",G69),0)&gt;0,"— (out of stock)",IF(K69&lt;=L69,"★ BUY NOW","—")))</f>
        <v>★ BUY NOW</v>
      </c>
      <c r="N69" s="14" t="inlineStr">
        <is>
          <t>Yellow, Butter Yellow and Orange all $18.99 on Overture's product page.</t>
        </is>
      </c>
    </row>
    <row r="70" ht="45" customHeight="1">
      <c r="A70" s="14" t="inlineStr">
        <is>
          <t>SUNLU</t>
        </is>
      </c>
      <c r="B70" s="14" t="inlineStr">
        <is>
          <t>SUNLU Matte PLA 1kg</t>
        </is>
      </c>
      <c r="C70" s="14" t="inlineStr">
        <is>
          <t>Matte Yellow / Sunny Orange</t>
        </is>
      </c>
      <c r="D70" s="15" t="n">
        <v>18.99</v>
      </c>
      <c r="E70" s="15" t="n"/>
      <c r="F70" s="16" t="str">
        <f>IF(OR(D70="",E70=""),"",TEXT(E70-D70,"$0.00")&amp;" ("&amp;TEXT(IF(E70=0,0,1-D70/E70),"0%")&amp;")")</f>
        <v/>
      </c>
      <c r="G70" s="14" t="inlineStr">
        <is>
          <t>Amazon — Check on Amazon</t>
        </is>
      </c>
      <c r="H70" s="18" t="inlineStr">
        <is>
          <t>Open</t>
        </is>
      </c>
      <c r="I70" s="26" t="n">
        <v>0</v>
      </c>
      <c r="J70" s="27" t="n">
        <v>1</v>
      </c>
      <c r="K70" s="26" t="n">
        <f>IF(OR(D70="",J70=""),"",(D70+IF(I70="",0,I70))/J70)</f>
        <v>18.99</v>
      </c>
      <c r="L70" s="26" t="n">
        <v>15</v>
      </c>
      <c r="M70" s="27" t="str">
        <f>IF(OR(K70="",L70=""),"",IF(IFERROR(SEARCH("Out of stock",G70),0)&gt;0,"— (out of stock)",IF(K70&lt;=L70,"★ BUY NOW","—")))</f>
        <v>—</v>
      </c>
      <c r="N70" s="14" t="inlineStr">
        <is>
          <t>Search-index price — confirm before buying. SUNLU yellow is a bright matte yellow.</t>
        </is>
      </c>
    </row>
    <row r="71" ht="45" customHeight="1">
      <c r="A71" s="14" t="inlineStr">
        <is>
          <t>Elegoo</t>
        </is>
      </c>
      <c r="B71" s="14" t="inlineStr">
        <is>
          <t>ELEGOO Matte PLA 1.75mm</t>
        </is>
      </c>
      <c r="C71" s="14" t="inlineStr">
        <is>
          <t>Sunshine Yellow / Sunflower Yellow</t>
        </is>
      </c>
      <c r="D71" s="15" t="n"/>
      <c r="E71" s="15" t="n"/>
      <c r="F71" s="16" t="str">
        <f>IF(OR(D71="",E71=""),"",TEXT(E71-D71,"$0.00")&amp;" ("&amp;TEXT(IF(E71=0,0,1-D71/E71),"0%")&amp;")")</f>
        <v/>
      </c>
      <c r="G71" s="14" t="inlineStr">
        <is>
          <t>Amazon — Check on Amazon</t>
        </is>
      </c>
      <c r="H71" s="18" t="inlineStr">
        <is>
          <t>Open</t>
        </is>
      </c>
      <c r="I71" s="26" t="n">
        <v>0</v>
      </c>
      <c r="J71" s="27" t="n">
        <v>1</v>
      </c>
      <c r="K71" s="26" t="str">
        <f>IF(OR(D71="",J71=""),"",(D71+IF(I71="",0,I71))/J71)</f>
        <v/>
      </c>
      <c r="L71" s="26" t="n">
        <v>14</v>
      </c>
      <c r="M71" s="27" t="str">
        <f>IF(OR(K71="",L71=""),"",IF(IFERROR(SEARCH("Out of stock",G71),0)&gt;0,"— (out of stock)",IF(K71&lt;=L71,"★ BUY NOW","—")))</f>
        <v/>
      </c>
      <c r="N71" s="14" t="inlineStr">
        <is>
          <t>Appears in matte refill bundles — no verified single-spool price today.</t>
        </is>
      </c>
    </row>
    <row r="72" ht="30" customHeight="1">
      <c r="A72" s="14" t="inlineStr">
        <is>
          <t>Bambu Lab</t>
        </is>
      </c>
      <c r="B72" s="14" t="inlineStr">
        <is>
          <t>Bambu Lab PLA Matte 1.75mm, 1kg — Refill</t>
        </is>
      </c>
      <c r="C72" s="14" t="inlineStr">
        <is>
          <t>Lemon Yellow / Mandarin Orange</t>
        </is>
      </c>
      <c r="D72" s="15" t="n">
        <v>19.99</v>
      </c>
      <c r="E72" s="15" t="n">
        <v>19.99</v>
      </c>
      <c r="F72" s="16" t="str">
        <f>IF(OR(D72="",E72=""),"",TEXT(E72-D72,"$0.00")&amp;" ("&amp;TEXT(IF(E72=0,0,1-D72/E72),"0%")&amp;")")</f>
        <v>$0.00 (0%)</v>
      </c>
      <c r="G72" s="14" t="inlineStr">
        <is>
          <t>Bambu Lab US Store — Check on Bambu store</t>
        </is>
      </c>
      <c r="H72" s="18" t="inlineStr">
        <is>
          <t>Open</t>
        </is>
      </c>
      <c r="I72" s="26" t="n">
        <v>0</v>
      </c>
      <c r="J72" s="27" t="n">
        <v>1</v>
      </c>
      <c r="K72" s="26" t="n">
        <f>IF(OR(D72="",J72=""),"",(D72+IF(I72="",0,I72))/J72)</f>
        <v>19.99</v>
      </c>
      <c r="L72" s="26" t="n">
        <v>20</v>
      </c>
      <c r="M72" s="27" t="str">
        <f>IF(OR(K72="",L72=""),"",IF(IFERROR(SEARCH("Out of stock",G72),0)&gt;0,"— (out of stock)",IF(K72&lt;=L72,"★ BUY NOW","—")))</f>
        <v>★ BUY NOW</v>
      </c>
      <c r="N72" s="14" t="inlineStr">
        <is>
          <t>Both $19.99 refill / $22.99 with spool.</t>
        </is>
      </c>
    </row>
    <row r="73" ht="45" customHeight="1">
      <c r="A73" s="14" t="inlineStr">
        <is>
          <t>Creality</t>
        </is>
      </c>
      <c r="B73" s="14" t="inlineStr">
        <is>
          <t>Creality CR-PLA Matte 1.75mm, 1kg</t>
        </is>
      </c>
      <c r="C73" s="14" t="inlineStr">
        <is>
          <t>— (no yellow/orange matte found)</t>
        </is>
      </c>
      <c r="D73" s="15" t="n"/>
      <c r="E73" s="15" t="n"/>
      <c r="F73" s="16" t="str">
        <f>IF(OR(D73="",E73=""),"",TEXT(E73-D73,"$0.00")&amp;" ("&amp;TEXT(IF(E73=0,0,1-D73/E73),"0%")&amp;")")</f>
        <v/>
      </c>
      <c r="G73" s="14" t="inlineStr">
        <is>
          <t>Creality / retailers — Not found</t>
        </is>
      </c>
      <c r="H73" s="18" t="inlineStr">
        <is>
          <t>Open</t>
        </is>
      </c>
      <c r="I73" s="26" t="n">
        <v>0</v>
      </c>
      <c r="J73" s="27" t="n">
        <v>1</v>
      </c>
      <c r="K73" s="26" t="str">
        <f>IF(OR(D73="",J73=""),"",(D73+IF(I73="",0,I73))/J73)</f>
        <v/>
      </c>
      <c r="L73" s="26" t="n">
        <v>16</v>
      </c>
      <c r="M73" s="27" t="str">
        <f>IF(OR(K73="",L73=""),"",IF(IFERROR(SEARCH("Out of stock",G73),0)&gt;0,"— (out of stock)",IF(K73&lt;=L73,"★ BUY NOW","—")))</f>
        <v/>
      </c>
      <c r="N73" s="14" t="inlineStr">
        <is>
          <t>No yellow/orange shade in the CR-PLA Matte list found in this check.</t>
        </is>
      </c>
    </row>
    <row r="74" ht="22" customHeight="1">
      <c r="A74" s="10" t="inlineStr">
        <is>
          <t>MATTE — PINK &amp; PURPLE  (6 listings)</t>
        </is>
      </c>
      <c r="B74" s="24" t="n"/>
      <c r="C74" s="24" t="n"/>
      <c r="D74" s="24" t="n"/>
      <c r="E74" s="24" t="n"/>
      <c r="F74" s="24" t="n"/>
      <c r="G74" s="24" t="n"/>
      <c r="H74" s="24" t="n"/>
      <c r="I74" s="24" t="n"/>
      <c r="J74" s="24" t="n"/>
      <c r="K74" s="24" t="n"/>
      <c r="L74" s="24" t="n"/>
      <c r="M74" s="24" t="n"/>
      <c r="N74" s="25" t="n"/>
    </row>
    <row r="75" ht="36" customHeight="1">
      <c r="A75" s="12" t="inlineStr">
        <is>
          <t>PINK &amp; PURPLE: Overture has the widest budget range ($18.99 for Pink, Baby Pink, Purple, Lilac). SUNLU Matte Pink indexed higher ($20.99) — double-check before buying.</t>
        </is>
      </c>
      <c r="B75" s="24" t="n"/>
      <c r="C75" s="24" t="n"/>
      <c r="D75" s="24" t="n"/>
      <c r="E75" s="24" t="n"/>
      <c r="F75" s="24" t="n"/>
      <c r="G75" s="24" t="n"/>
      <c r="H75" s="24" t="n"/>
      <c r="I75" s="24" t="n"/>
      <c r="J75" s="24" t="n"/>
      <c r="K75" s="24" t="n"/>
      <c r="L75" s="24" t="n"/>
      <c r="M75" s="24" t="n"/>
      <c r="N75" s="25" t="n"/>
    </row>
    <row r="76" ht="45" customHeight="1">
      <c r="A76" s="14" t="inlineStr">
        <is>
          <t>Inland (Micro Center)</t>
        </is>
      </c>
      <c r="B76" s="14" t="inlineStr">
        <is>
          <t>Inland Matte PLA 1.75mm, 1kg</t>
        </is>
      </c>
      <c r="C76" s="14" t="inlineStr">
        <is>
          <t>Matte Pink (shade varies)</t>
        </is>
      </c>
      <c r="D76" s="15" t="n">
        <v>13.99</v>
      </c>
      <c r="E76" s="15" t="n"/>
      <c r="F76" s="16" t="str">
        <f>IF(OR(D76="",E76=""),"",TEXT(E76-D76,"$0.00")&amp;" ("&amp;TEXT(IF(E76=0,0,1-D76/E76),"0%")&amp;")")</f>
        <v/>
      </c>
      <c r="G76" s="14" t="inlineStr">
        <is>
          <t>Micro Center — Check in store</t>
        </is>
      </c>
      <c r="H76" s="18" t="inlineStr">
        <is>
          <t>Open</t>
        </is>
      </c>
      <c r="I76" s="26" t="n">
        <v>0</v>
      </c>
      <c r="J76" s="27" t="n">
        <v>1</v>
      </c>
      <c r="K76" s="26" t="n">
        <f>IF(OR(D76="",J76=""),"",(D76+IF(I76="",0,I76))/J76)</f>
        <v>13.99</v>
      </c>
      <c r="L76" s="26" t="n">
        <v>15</v>
      </c>
      <c r="M76" s="27" t="str">
        <f>IF(OR(K76="",L76=""),"",IF(IFERROR(SEARCH("Out of stock",G76),0)&gt;0,"— (out of stock)",IF(K76&lt;=L76,"★ BUY NOW","—")))</f>
        <v>★ BUY NOW</v>
      </c>
      <c r="N76" s="14" t="inlineStr">
        <is>
          <t>Confirm exact matte pink shade/availability — Inland matte range is narrower here.</t>
        </is>
      </c>
    </row>
    <row r="77" ht="45" customHeight="1">
      <c r="A77" s="14" t="inlineStr">
        <is>
          <t>Overture</t>
        </is>
      </c>
      <c r="B77" s="14" t="inlineStr">
        <is>
          <t>OVERTURE Matte PLA 1.75mm, 1kg</t>
        </is>
      </c>
      <c r="C77" s="14" t="inlineStr">
        <is>
          <t>Pink / Baby Pink / Purple / Lilac</t>
        </is>
      </c>
      <c r="D77" s="15" t="n">
        <v>18.99</v>
      </c>
      <c r="E77" s="15" t="n">
        <v>23.99</v>
      </c>
      <c r="F77" s="16" t="str">
        <f>IF(OR(D77="",E77=""),"",TEXT(E77-D77,"$0.00")&amp;" ("&amp;TEXT(IF(E77=0,0,1-D77/E77),"0%")&amp;")")</f>
        <v>$5.00 (21%)</v>
      </c>
      <c r="G77" s="17" t="inlineStr">
        <is>
          <t>Overture official store — In stock</t>
        </is>
      </c>
      <c r="H77" s="18" t="inlineStr">
        <is>
          <t>Open</t>
        </is>
      </c>
      <c r="I77" s="26" t="n">
        <v>0</v>
      </c>
      <c r="J77" s="27" t="n">
        <v>1</v>
      </c>
      <c r="K77" s="26" t="n">
        <f>IF(OR(D77="",J77=""),"",(D77+IF(I77="",0,I77))/J77)</f>
        <v>18.99</v>
      </c>
      <c r="L77" s="26" t="n">
        <v>19</v>
      </c>
      <c r="M77" s="27" t="str">
        <f>IF(OR(K77="",L77=""),"",IF(IFERROR(SEARCH("Out of stock",G77),0)&gt;0,"— (out of stock)",IF(K77&lt;=L77,"★ BUY NOW","—")))</f>
        <v>★ BUY NOW</v>
      </c>
      <c r="N77" s="14" t="inlineStr">
        <is>
          <t>Pink, Baby Pink, Purple and Lilac all $18.99 on Overture's product page.</t>
        </is>
      </c>
    </row>
    <row r="78" ht="45" customHeight="1">
      <c r="A78" s="14" t="inlineStr">
        <is>
          <t>SUNLU</t>
        </is>
      </c>
      <c r="B78" s="14" t="inlineStr">
        <is>
          <t>SUNLU Matte PLA 1kg</t>
        </is>
      </c>
      <c r="C78" s="14" t="inlineStr">
        <is>
          <t>Matte Pink / Lavender Purple</t>
        </is>
      </c>
      <c r="D78" s="15" t="n">
        <v>20.99</v>
      </c>
      <c r="E78" s="15" t="n"/>
      <c r="F78" s="16" t="str">
        <f>IF(OR(D78="",E78=""),"",TEXT(E78-D78,"$0.00")&amp;" ("&amp;TEXT(IF(E78=0,0,1-D78/E78),"0%")&amp;")")</f>
        <v/>
      </c>
      <c r="G78" s="14" t="inlineStr">
        <is>
          <t>Amazon — Check on Amazon</t>
        </is>
      </c>
      <c r="H78" s="18" t="inlineStr">
        <is>
          <t>Open</t>
        </is>
      </c>
      <c r="I78" s="26" t="n">
        <v>0</v>
      </c>
      <c r="J78" s="27" t="n">
        <v>1</v>
      </c>
      <c r="K78" s="26" t="n">
        <f>IF(OR(D78="",J78=""),"",(D78+IF(I78="",0,I78))/J78)</f>
        <v>20.99</v>
      </c>
      <c r="L78" s="26" t="n">
        <v>15</v>
      </c>
      <c r="M78" s="27" t="str">
        <f>IF(OR(K78="",L78=""),"",IF(IFERROR(SEARCH("Out of stock",G78),0)&gt;0,"— (out of stock)",IF(K78&lt;=L78,"★ BUY NOW","—")))</f>
        <v>—</v>
      </c>
      <c r="N78" s="14" t="inlineStr">
        <is>
          <t>Search-index price for Matte Pink was $20.99 (higher than other SUNLU mattes) — confirm before buying.</t>
        </is>
      </c>
    </row>
    <row r="79" ht="60" customHeight="1">
      <c r="A79" s="14" t="inlineStr">
        <is>
          <t>Elegoo</t>
        </is>
      </c>
      <c r="B79" s="14" t="inlineStr">
        <is>
          <t>ELEGOO Matte PLA 1.75mm</t>
        </is>
      </c>
      <c r="C79" s="14" t="inlineStr">
        <is>
          <t>Sakura Pink / Lavender Purple</t>
        </is>
      </c>
      <c r="D79" s="15" t="n"/>
      <c r="E79" s="15" t="n"/>
      <c r="F79" s="16" t="str">
        <f>IF(OR(D79="",E79=""),"",TEXT(E79-D79,"$0.00")&amp;" ("&amp;TEXT(IF(E79=0,0,1-D79/E79),"0%")&amp;")")</f>
        <v/>
      </c>
      <c r="G79" s="14" t="inlineStr">
        <is>
          <t>Amazon — Check on Amazon</t>
        </is>
      </c>
      <c r="H79" s="18" t="inlineStr">
        <is>
          <t>Open</t>
        </is>
      </c>
      <c r="I79" s="26" t="n">
        <v>0</v>
      </c>
      <c r="J79" s="27" t="n">
        <v>1</v>
      </c>
      <c r="K79" s="26" t="str">
        <f>IF(OR(D79="",J79=""),"",(D79+IF(I79="",0,I79))/J79)</f>
        <v/>
      </c>
      <c r="L79" s="26" t="n">
        <v>14</v>
      </c>
      <c r="M79" s="27" t="str">
        <f>IF(OR(K79="",L79=""),"",IF(IFERROR(SEARCH("Out of stock",G79),0)&gt;0,"— (out of stock)",IF(K79&lt;=L79,"★ BUY NOW","—")))</f>
        <v/>
      </c>
      <c r="N79" s="14" t="inlineStr">
        <is>
          <t>Appears in matte refill bundles (e.g. Sunshine Yellow/Ice Blue/Sakura Pink/Lavender Purple) — no verified single-spool price.</t>
        </is>
      </c>
    </row>
    <row r="80" ht="45" customHeight="1">
      <c r="A80" s="14" t="inlineStr">
        <is>
          <t>Bambu Lab</t>
        </is>
      </c>
      <c r="B80" s="14" t="inlineStr">
        <is>
          <t>Bambu Lab PLA Matte 1.75mm, 1kg — Refill</t>
        </is>
      </c>
      <c r="C80" s="14" t="inlineStr">
        <is>
          <t>Sakura Pink / Lilac Purple / Plum</t>
        </is>
      </c>
      <c r="D80" s="15" t="n">
        <v>19.99</v>
      </c>
      <c r="E80" s="15" t="n">
        <v>19.99</v>
      </c>
      <c r="F80" s="16" t="str">
        <f>IF(OR(D80="",E80=""),"",TEXT(E80-D80,"$0.00")&amp;" ("&amp;TEXT(IF(E80=0,0,1-D80/E80),"0%")&amp;")")</f>
        <v>$0.00 (0%)</v>
      </c>
      <c r="G80" s="14" t="inlineStr">
        <is>
          <t>Bambu Lab US Store — Check on Bambu store</t>
        </is>
      </c>
      <c r="H80" s="18" t="inlineStr">
        <is>
          <t>Open</t>
        </is>
      </c>
      <c r="I80" s="26" t="n">
        <v>0</v>
      </c>
      <c r="J80" s="27" t="n">
        <v>1</v>
      </c>
      <c r="K80" s="26" t="n">
        <f>IF(OR(D80="",J80=""),"",(D80+IF(I80="",0,I80))/J80)</f>
        <v>19.99</v>
      </c>
      <c r="L80" s="26" t="n">
        <v>20</v>
      </c>
      <c r="M80" s="27" t="str">
        <f>IF(OR(K80="",L80=""),"",IF(IFERROR(SEARCH("Out of stock",G80),0)&gt;0,"— (out of stock)",IF(K80&lt;=L80,"★ BUY NOW","—")))</f>
        <v>★ BUY NOW</v>
      </c>
      <c r="N80" s="14" t="inlineStr">
        <is>
          <t>All $19.99 refill / $22.99 with spool.</t>
        </is>
      </c>
    </row>
    <row r="81" ht="90" customHeight="1">
      <c r="A81" s="14" t="inlineStr">
        <is>
          <t>Creality</t>
        </is>
      </c>
      <c r="B81" s="14" t="inlineStr">
        <is>
          <t>Creality CR-PLA Matte 1.75mm, 1kg</t>
        </is>
      </c>
      <c r="C81" s="14" t="inlineStr">
        <is>
          <t>— (no pink/purple matte found)</t>
        </is>
      </c>
      <c r="D81" s="15" t="n"/>
      <c r="E81" s="15" t="n"/>
      <c r="F81" s="16" t="str">
        <f>IF(OR(D81="",E81=""),"",TEXT(E81-D81,"$0.00")&amp;" ("&amp;TEXT(IF(E81=0,0,1-D81/E81),"0%")&amp;")")</f>
        <v/>
      </c>
      <c r="G81" s="14" t="inlineStr">
        <is>
          <t>Creality / retailers — Not found</t>
        </is>
      </c>
      <c r="H81" s="18" t="inlineStr">
        <is>
          <t>Open</t>
        </is>
      </c>
      <c r="I81" s="26" t="n">
        <v>0</v>
      </c>
      <c r="J81" s="27" t="n">
        <v>1</v>
      </c>
      <c r="K81" s="26" t="str">
        <f>IF(OR(D81="",J81=""),"",(D81+IF(I81="",0,I81))/J81)</f>
        <v/>
      </c>
      <c r="L81" s="26" t="n">
        <v>16</v>
      </c>
      <c r="M81" s="27" t="str">
        <f>IF(OR(K81="",L81=""),"",IF(IFERROR(SEARCH("Out of stock",G81),0)&gt;0,"— (out of stock)",IF(K81&lt;=L81,"★ BUY NOW","—")))</f>
        <v/>
      </c>
      <c r="N81" s="14" t="inlineStr">
        <is>
          <t>No pink/purple shade in the CR-PLA Matte list found in this check. Creality's sub-brand Soleyin Matte PLA lists Almond Purple / Strawberry Milk, but that is a different line — not included in pricing.</t>
        </is>
      </c>
    </row>
  </sheetData>
  <mergeCells count="20">
    <mergeCell ref="A40:N40"/>
    <mergeCell ref="A67:N67"/>
    <mergeCell ref="A31:N31"/>
    <mergeCell ref="A24:N24"/>
    <mergeCell ref="A15:N15"/>
    <mergeCell ref="A49:N49"/>
    <mergeCell ref="A1:N1"/>
    <mergeCell ref="A16:N16"/>
    <mergeCell ref="A41:N41"/>
    <mergeCell ref="A75:N75"/>
    <mergeCell ref="A66:N66"/>
    <mergeCell ref="A74:N74"/>
    <mergeCell ref="A50:N50"/>
    <mergeCell ref="A2:N2"/>
    <mergeCell ref="A57:N57"/>
    <mergeCell ref="A5:N5"/>
    <mergeCell ref="A23:N23"/>
    <mergeCell ref="A32:N32"/>
    <mergeCell ref="A58:N58"/>
    <mergeCell ref="A4:N4"/>
  </mergeCells>
  <conditionalFormatting sqref="M6:M81">
    <cfRule type="expression" priority="1" dxfId="0" stopIfTrue="0">
      <formula>$M6="★ BUY NOW"</formula>
    </cfRule>
  </conditionalFormatting>
  <hyperlinks>
    <hyperlink xmlns:r="http://schemas.openxmlformats.org/officeDocument/2006/relationships" ref="H6" r:id="rId1"/>
    <hyperlink xmlns:r="http://schemas.openxmlformats.org/officeDocument/2006/relationships" ref="H7" r:id="rId2"/>
    <hyperlink xmlns:r="http://schemas.openxmlformats.org/officeDocument/2006/relationships" ref="H8" r:id="rId3"/>
    <hyperlink xmlns:r="http://schemas.openxmlformats.org/officeDocument/2006/relationships" ref="H9" r:id="rId4"/>
    <hyperlink xmlns:r="http://schemas.openxmlformats.org/officeDocument/2006/relationships" ref="H10" r:id="rId5"/>
    <hyperlink xmlns:r="http://schemas.openxmlformats.org/officeDocument/2006/relationships" ref="H11" r:id="rId6"/>
    <hyperlink xmlns:r="http://schemas.openxmlformats.org/officeDocument/2006/relationships" ref="H12" r:id="rId7"/>
    <hyperlink xmlns:r="http://schemas.openxmlformats.org/officeDocument/2006/relationships" ref="H13" r:id="rId8"/>
    <hyperlink xmlns:r="http://schemas.openxmlformats.org/officeDocument/2006/relationships" ref="H14" r:id="rId9"/>
    <hyperlink xmlns:r="http://schemas.openxmlformats.org/officeDocument/2006/relationships" ref="H17" r:id="rId10"/>
    <hyperlink xmlns:r="http://schemas.openxmlformats.org/officeDocument/2006/relationships" ref="H18" r:id="rId11"/>
    <hyperlink xmlns:r="http://schemas.openxmlformats.org/officeDocument/2006/relationships" ref="H19" r:id="rId12"/>
    <hyperlink xmlns:r="http://schemas.openxmlformats.org/officeDocument/2006/relationships" ref="H20" r:id="rId13"/>
    <hyperlink xmlns:r="http://schemas.openxmlformats.org/officeDocument/2006/relationships" ref="H21" r:id="rId14"/>
    <hyperlink xmlns:r="http://schemas.openxmlformats.org/officeDocument/2006/relationships" ref="H22" r:id="rId15"/>
    <hyperlink xmlns:r="http://schemas.openxmlformats.org/officeDocument/2006/relationships" ref="H25" r:id="rId16"/>
    <hyperlink xmlns:r="http://schemas.openxmlformats.org/officeDocument/2006/relationships" ref="H26" r:id="rId17"/>
    <hyperlink xmlns:r="http://schemas.openxmlformats.org/officeDocument/2006/relationships" ref="H27" r:id="rId18"/>
    <hyperlink xmlns:r="http://schemas.openxmlformats.org/officeDocument/2006/relationships" ref="H28" r:id="rId19"/>
    <hyperlink xmlns:r="http://schemas.openxmlformats.org/officeDocument/2006/relationships" ref="H29" r:id="rId20"/>
    <hyperlink xmlns:r="http://schemas.openxmlformats.org/officeDocument/2006/relationships" ref="H30" r:id="rId21"/>
    <hyperlink xmlns:r="http://schemas.openxmlformats.org/officeDocument/2006/relationships" ref="H33" r:id="rId22"/>
    <hyperlink xmlns:r="http://schemas.openxmlformats.org/officeDocument/2006/relationships" ref="H34" r:id="rId23"/>
    <hyperlink xmlns:r="http://schemas.openxmlformats.org/officeDocument/2006/relationships" ref="H35" r:id="rId24"/>
    <hyperlink xmlns:r="http://schemas.openxmlformats.org/officeDocument/2006/relationships" ref="H36" r:id="rId25"/>
    <hyperlink xmlns:r="http://schemas.openxmlformats.org/officeDocument/2006/relationships" ref="H37" r:id="rId26"/>
    <hyperlink xmlns:r="http://schemas.openxmlformats.org/officeDocument/2006/relationships" ref="H38" r:id="rId27"/>
    <hyperlink xmlns:r="http://schemas.openxmlformats.org/officeDocument/2006/relationships" ref="H39" r:id="rId28"/>
    <hyperlink xmlns:r="http://schemas.openxmlformats.org/officeDocument/2006/relationships" ref="H42" r:id="rId29"/>
    <hyperlink xmlns:r="http://schemas.openxmlformats.org/officeDocument/2006/relationships" ref="H43" r:id="rId30"/>
    <hyperlink xmlns:r="http://schemas.openxmlformats.org/officeDocument/2006/relationships" ref="H44" r:id="rId31"/>
    <hyperlink xmlns:r="http://schemas.openxmlformats.org/officeDocument/2006/relationships" ref="H45" r:id="rId32"/>
    <hyperlink xmlns:r="http://schemas.openxmlformats.org/officeDocument/2006/relationships" ref="H46" r:id="rId33"/>
    <hyperlink xmlns:r="http://schemas.openxmlformats.org/officeDocument/2006/relationships" ref="H47" r:id="rId34"/>
    <hyperlink xmlns:r="http://schemas.openxmlformats.org/officeDocument/2006/relationships" ref="H48" r:id="rId35"/>
    <hyperlink xmlns:r="http://schemas.openxmlformats.org/officeDocument/2006/relationships" ref="H51" r:id="rId36"/>
    <hyperlink xmlns:r="http://schemas.openxmlformats.org/officeDocument/2006/relationships" ref="H52" r:id="rId37"/>
    <hyperlink xmlns:r="http://schemas.openxmlformats.org/officeDocument/2006/relationships" ref="H53" r:id="rId38"/>
    <hyperlink xmlns:r="http://schemas.openxmlformats.org/officeDocument/2006/relationships" ref="H54" r:id="rId39"/>
    <hyperlink xmlns:r="http://schemas.openxmlformats.org/officeDocument/2006/relationships" ref="H55" r:id="rId40"/>
    <hyperlink xmlns:r="http://schemas.openxmlformats.org/officeDocument/2006/relationships" ref="H56" r:id="rId41"/>
    <hyperlink xmlns:r="http://schemas.openxmlformats.org/officeDocument/2006/relationships" ref="H59" r:id="rId42"/>
    <hyperlink xmlns:r="http://schemas.openxmlformats.org/officeDocument/2006/relationships" ref="H60" r:id="rId43"/>
    <hyperlink xmlns:r="http://schemas.openxmlformats.org/officeDocument/2006/relationships" ref="H61" r:id="rId44"/>
    <hyperlink xmlns:r="http://schemas.openxmlformats.org/officeDocument/2006/relationships" ref="H62" r:id="rId45"/>
    <hyperlink xmlns:r="http://schemas.openxmlformats.org/officeDocument/2006/relationships" ref="H63" r:id="rId46"/>
    <hyperlink xmlns:r="http://schemas.openxmlformats.org/officeDocument/2006/relationships" ref="H64" r:id="rId47"/>
    <hyperlink xmlns:r="http://schemas.openxmlformats.org/officeDocument/2006/relationships" ref="H65" r:id="rId48"/>
    <hyperlink xmlns:r="http://schemas.openxmlformats.org/officeDocument/2006/relationships" ref="H68" r:id="rId49"/>
    <hyperlink xmlns:r="http://schemas.openxmlformats.org/officeDocument/2006/relationships" ref="H69" r:id="rId50"/>
    <hyperlink xmlns:r="http://schemas.openxmlformats.org/officeDocument/2006/relationships" ref="H70" r:id="rId51"/>
    <hyperlink xmlns:r="http://schemas.openxmlformats.org/officeDocument/2006/relationships" ref="H71" r:id="rId52"/>
    <hyperlink xmlns:r="http://schemas.openxmlformats.org/officeDocument/2006/relationships" ref="H72" r:id="rId53"/>
    <hyperlink xmlns:r="http://schemas.openxmlformats.org/officeDocument/2006/relationships" ref="H73" r:id="rId54"/>
    <hyperlink xmlns:r="http://schemas.openxmlformats.org/officeDocument/2006/relationships" ref="H76" r:id="rId55"/>
    <hyperlink xmlns:r="http://schemas.openxmlformats.org/officeDocument/2006/relationships" ref="H77" r:id="rId56"/>
    <hyperlink xmlns:r="http://schemas.openxmlformats.org/officeDocument/2006/relationships" ref="H78" r:id="rId57"/>
    <hyperlink xmlns:r="http://schemas.openxmlformats.org/officeDocument/2006/relationships" ref="H79" r:id="rId58"/>
    <hyperlink xmlns:r="http://schemas.openxmlformats.org/officeDocument/2006/relationships" ref="H80" r:id="rId59"/>
    <hyperlink xmlns:r="http://schemas.openxmlformats.org/officeDocument/2006/relationships" ref="H81" r:id="rId60"/>
  </hyperlinks>
  <pageMargins left="0.75" right="0.75" top="1" bottom="1" header="0.5" footer="0.5"/>
  <pageSetup orientation="landscape" fitToHeight="0" fitToWidth="1"/>
</worksheet>
</file>

<file path=xl/worksheets/sheet3.xml><?xml version="1.0" encoding="utf-8"?>
<worksheet xmlns="http://schemas.openxmlformats.org/spreadsheetml/2006/main">
  <sheetPr>
    <tabColor rgb="005B9BD5"/>
    <outlinePr summaryBelow="1" summaryRight="1"/>
    <pageSetUpPr fitToPage="1"/>
  </sheetPr>
  <dimension ref="A1:N14"/>
  <sheetViews>
    <sheetView zoomScale="85" workbookViewId="0">
      <pane ySplit="4" topLeftCell="A5" activePane="bottomLeft" state="frozen"/>
      <selection pane="bottomLeft" activeCell="A1" sqref="A1"/>
    </sheetView>
  </sheetViews>
  <sheetFormatPr baseColWidth="8" defaultRowHeight="15"/>
  <cols>
    <col width="13" customWidth="1" min="1" max="1"/>
    <col width="24" customWidth="1" min="2" max="2"/>
    <col width="12" customWidth="1" min="3" max="3"/>
    <col width="9" customWidth="1" min="4" max="4"/>
    <col width="9" customWidth="1" min="5" max="5"/>
    <col width="13" customWidth="1" min="6" max="6"/>
    <col width="20" customWidth="1" min="7" max="7"/>
    <col width="6" customWidth="1" min="8" max="8"/>
    <col width="9" customWidth="1" min="9" max="9"/>
    <col width="7" customWidth="1" min="10" max="10"/>
    <col width="11" customWidth="1" min="11" max="11"/>
    <col width="11" customWidth="1" min="12" max="12"/>
    <col width="12" customWidth="1" min="13" max="13"/>
    <col width="28" customWidth="1" min="14" max="14"/>
  </cols>
  <sheetData>
    <row r="1">
      <c r="A1" s="8" t="inlineStr">
        <is>
          <t>Filament Pricing — PLA+ (PLA Plus) (1.75mm, 1kg)</t>
        </is>
      </c>
    </row>
    <row r="2" ht="62" customHeight="1">
      <c r="A2" s="2" t="inlineStr">
        <is>
          <t>1.75mm, 1kg single spool unless Notes say bundle / refill / minimum order. All rows checked 2026-10-11 (Amazon + brand stores + Micro Center). Compact layout: Savings shows $ and % in one column, the source is the short 'Open' link, and stock is shown together with Where to Buy. NEW columns: Shipping $ (starts at $0 — pickup / Prime / free-shipping default; type the real shipping charge for an order and the rest updates), Spools, Delivered / spool = (Price + Shipping) / Spools, Buy at / under threshold, and a Deal? flag — a green star BUY NOW means the delivered per-spool cost is at or under the threshold (out-of-stock rows never flag). Thresholds and Shipping are editable — see How to Use.</t>
        </is>
      </c>
    </row>
    <row r="3" ht="44" customHeight="1">
      <c r="A3" s="20" t="inlineStr">
        <is>
          <t>PLA+ = tougher, less brittle regular PLA. CHEAPEST VERIFIED: SUNLU PLA+ from $10.69 and PLA+ 2.0 from $10.99 on SUNLU's own store. Bambu has no 'PLA+' name — its equivalent is PLA Tough+. Creality PLA+ US pricing was not verified, so it is blank.</t>
        </is>
      </c>
    </row>
    <row r="4" ht="30" customHeight="1">
      <c r="A4" s="9" t="inlineStr">
        <is>
          <t>Brand</t>
        </is>
      </c>
      <c r="B4" s="9" t="inlineStr">
        <is>
          <t>Product</t>
        </is>
      </c>
      <c r="C4" s="9" t="inlineStr">
        <is>
          <t>Colour / Shade</t>
        </is>
      </c>
      <c r="D4" s="9" t="inlineStr">
        <is>
          <t>Price ($)</t>
        </is>
      </c>
      <c r="E4" s="9" t="inlineStr">
        <is>
          <t>List ($)</t>
        </is>
      </c>
      <c r="F4" s="9" t="inlineStr">
        <is>
          <t>Savings</t>
        </is>
      </c>
      <c r="G4" s="9" t="inlineStr">
        <is>
          <t>Where to Buy / Stock</t>
        </is>
      </c>
      <c r="H4" s="9" t="inlineStr">
        <is>
          <t>Link</t>
        </is>
      </c>
      <c r="I4" s="9" t="inlineStr">
        <is>
          <t>Shipping ($)</t>
        </is>
      </c>
      <c r="J4" s="9" t="inlineStr">
        <is>
          <t>Spools</t>
        </is>
      </c>
      <c r="K4" s="9" t="inlineStr">
        <is>
          <t>Delivered / spool ($)</t>
        </is>
      </c>
      <c r="L4" s="9" t="inlineStr">
        <is>
          <t>Buy at / under ($/spool)</t>
        </is>
      </c>
      <c r="M4" s="9" t="inlineStr">
        <is>
          <t>Deal?</t>
        </is>
      </c>
      <c r="N4" s="9" t="inlineStr">
        <is>
          <t>Notes</t>
        </is>
      </c>
    </row>
    <row r="5" ht="60" customHeight="1">
      <c r="A5" s="14" t="inlineStr">
        <is>
          <t>Inland (Micro Center)</t>
        </is>
      </c>
      <c r="B5" s="14" t="inlineStr">
        <is>
          <t>Inland PLA+ High-Speed 1.75mm, 1kg Cardboard Spool</t>
        </is>
      </c>
      <c r="C5" s="14" t="inlineStr">
        <is>
          <t>Black</t>
        </is>
      </c>
      <c r="D5" s="15" t="n">
        <v>17.99</v>
      </c>
      <c r="E5" s="15" t="n"/>
      <c r="F5" s="16" t="str">
        <f>IF(OR(D5="",E5=""),"",TEXT(E5-D5,"$0.00")&amp;" ("&amp;TEXT(IF(E5=0,0,1-D5/E5),"0%")&amp;")")</f>
        <v/>
      </c>
      <c r="G5" s="17" t="inlineStr">
        <is>
          <t>Micro Center — In stock</t>
        </is>
      </c>
      <c r="H5" s="18" t="inlineStr">
        <is>
          <t>Open</t>
        </is>
      </c>
      <c r="I5" s="26" t="n">
        <v>0</v>
      </c>
      <c r="J5" s="27" t="n">
        <v>1</v>
      </c>
      <c r="K5" s="26" t="n">
        <f>IF(OR(D5="",J5=""),"",(D5+IF(I5="",0,I5))/J5)</f>
        <v>17.99</v>
      </c>
      <c r="L5" s="26" t="n">
        <v>16</v>
      </c>
      <c r="M5" s="27" t="str">
        <f>IF(OR(K5="",L5=""),"",IF(IFERROR(SEARCH("Out of stock",G5),0)&gt;0,"— (out of stock)",IF(K5&lt;=L5,"★ BUY NOW","—")))</f>
        <v>—</v>
      </c>
      <c r="N5" s="14" t="inlineStr">
        <is>
          <t>Inland's PLA+ at Micro Center is the high-speed version. Price/stock from the Micro Center product page listing.</t>
        </is>
      </c>
    </row>
    <row r="6" ht="75" customHeight="1">
      <c r="A6" s="14" t="inlineStr">
        <is>
          <t>Inland (Micro Center)</t>
        </is>
      </c>
      <c r="B6" s="14" t="inlineStr">
        <is>
          <t>Inland PLA+ 1.75mm, 1kg Spool</t>
        </is>
      </c>
      <c r="C6" s="14" t="inlineStr">
        <is>
          <t>Luminous Green (glow)</t>
        </is>
      </c>
      <c r="D6" s="15" t="n">
        <v>13.99</v>
      </c>
      <c r="E6" s="15" t="n"/>
      <c r="F6" s="16" t="str">
        <f>IF(OR(D6="",E6=""),"",TEXT(E6-D6,"$0.00")&amp;" ("&amp;TEXT(IF(E6=0,0,1-D6/E6),"0%")&amp;")")</f>
        <v/>
      </c>
      <c r="G6" s="17" t="inlineStr">
        <is>
          <t>Micro Center — In stock</t>
        </is>
      </c>
      <c r="H6" s="18" t="inlineStr">
        <is>
          <t>Open</t>
        </is>
      </c>
      <c r="I6" s="26" t="n">
        <v>0</v>
      </c>
      <c r="J6" s="27" t="n">
        <v>1</v>
      </c>
      <c r="K6" s="26" t="n">
        <f>IF(OR(D6="",J6=""),"",(D6+IF(I6="",0,I6))/J6)</f>
        <v>13.99</v>
      </c>
      <c r="L6" s="26" t="n">
        <v>16</v>
      </c>
      <c r="M6" s="27" t="str">
        <f>IF(OR(K6="",L6=""),"",IF(IFERROR(SEARCH("Out of stock",G6),0)&gt;0,"— (out of stock)",IF(K6&lt;=L6,"★ BUY NOW","—")))</f>
        <v>★ BUY NOW</v>
      </c>
      <c r="N6" s="14" t="inlineStr">
        <is>
          <t>Glow-in-the-dark PLA+ shade at the flat Inland price — confirm core White/Black PLA+ shades in store; they were not separately verified in this check.</t>
        </is>
      </c>
    </row>
    <row r="7" ht="45" customHeight="1">
      <c r="A7" s="14" t="inlineStr">
        <is>
          <t>Overture</t>
        </is>
      </c>
      <c r="B7" s="14" t="inlineStr">
        <is>
          <t>OVERTURE PLA Plus (PLA+) 1.75mm, 1kg</t>
        </is>
      </c>
      <c r="C7" s="14" t="inlineStr">
        <is>
          <t>White</t>
        </is>
      </c>
      <c r="D7" s="15" t="n">
        <v>15.21</v>
      </c>
      <c r="E7" s="15" t="n">
        <v>18.99</v>
      </c>
      <c r="F7" s="16" t="str">
        <f>IF(OR(D7="",E7=""),"",TEXT(E7-D7,"$0.00")&amp;" ("&amp;TEXT(IF(E7=0,0,1-D7/E7),"0%")&amp;")")</f>
        <v>$3.78 (20%)</v>
      </c>
      <c r="G7" s="14" t="inlineStr">
        <is>
          <t>Amazon — Check on Amazon</t>
        </is>
      </c>
      <c r="H7" s="18" t="inlineStr">
        <is>
          <t>Open</t>
        </is>
      </c>
      <c r="I7" s="26" t="n">
        <v>0</v>
      </c>
      <c r="J7" s="27" t="n">
        <v>1</v>
      </c>
      <c r="K7" s="26" t="n">
        <f>IF(OR(D7="",J7=""),"",(D7+IF(I7="",0,I7))/J7)</f>
        <v>15.21</v>
      </c>
      <c r="L7" s="26" t="n">
        <v>16</v>
      </c>
      <c r="M7" s="27" t="str">
        <f>IF(OR(K7="",L7=""),"",IF(IFERROR(SEARCH("Out of stock",G7),0)&gt;0,"— (out of stock)",IF(K7&lt;=L7,"★ BUY NOW","—")))</f>
        <v>★ BUY NOW</v>
      </c>
      <c r="N7" s="14" t="inlineStr">
        <is>
          <t>Amazon listing price at the check; typical price $18.99 shown on the listing.</t>
        </is>
      </c>
    </row>
    <row r="8" ht="60" customHeight="1">
      <c r="A8" s="14" t="inlineStr">
        <is>
          <t>Overture</t>
        </is>
      </c>
      <c r="B8" s="14" t="inlineStr">
        <is>
          <t>OVERTURE PLA Plus (PLA+) 1.75mm, 1kg</t>
        </is>
      </c>
      <c r="C8" s="14" t="inlineStr">
        <is>
          <t>Black</t>
        </is>
      </c>
      <c r="D8" s="15" t="n">
        <v>15.99</v>
      </c>
      <c r="E8" s="15" t="n"/>
      <c r="F8" s="16" t="str">
        <f>IF(OR(D8="",E8=""),"",TEXT(E8-D8,"$0.00")&amp;" ("&amp;TEXT(IF(E8=0,0,1-D8/E8),"0%")&amp;")")</f>
        <v/>
      </c>
      <c r="G8" s="14" t="inlineStr">
        <is>
          <t>Amazon — Check on Amazon</t>
        </is>
      </c>
      <c r="H8" s="18" t="inlineStr">
        <is>
          <t>Open</t>
        </is>
      </c>
      <c r="I8" s="26" t="n">
        <v>0</v>
      </c>
      <c r="J8" s="27" t="n">
        <v>1</v>
      </c>
      <c r="K8" s="26" t="n">
        <f>IF(OR(D8="",J8=""),"",(D8+IF(I8="",0,I8))/J8)</f>
        <v>15.99</v>
      </c>
      <c r="L8" s="26" t="n">
        <v>16</v>
      </c>
      <c r="M8" s="27" t="str">
        <f>IF(OR(K8="",L8=""),"",IF(IFERROR(SEARCH("Out of stock",G8),0)&gt;0,"— (out of stock)",IF(K8&lt;=L8,"★ BUY NOW","—")))</f>
        <v>★ BUY NOW</v>
      </c>
      <c r="N8" s="14" t="inlineStr">
        <is>
          <t>One-time price $15.99 on the Amazon listing (Subscribe &amp; Save was $14.39). 4kg bundles work out near $11/kg on the same listing family.</t>
        </is>
      </c>
    </row>
    <row r="9" ht="60" customHeight="1">
      <c r="A9" s="14" t="inlineStr">
        <is>
          <t>SUNLU</t>
        </is>
      </c>
      <c r="B9" s="14" t="inlineStr">
        <is>
          <t>SUNLU PLA+ (PLA Plus) 1.75mm, 1kg</t>
        </is>
      </c>
      <c r="C9" s="14" t="inlineStr">
        <is>
          <t>Colour range (from price)</t>
        </is>
      </c>
      <c r="D9" s="15" t="n">
        <v>10.69</v>
      </c>
      <c r="E9" s="15" t="n">
        <v>18.99</v>
      </c>
      <c r="F9" s="16" t="str">
        <f>IF(OR(D9="",E9=""),"",TEXT(E9-D9,"$0.00")&amp;" ("&amp;TEXT(IF(E9=0,0,1-D9/E9),"0%")&amp;")")</f>
        <v>$8.30 (44%)</v>
      </c>
      <c r="G9" s="14" t="inlineStr">
        <is>
          <t>SUNLU official store — Check on SUNLU store</t>
        </is>
      </c>
      <c r="H9" s="18" t="inlineStr">
        <is>
          <t>Open</t>
        </is>
      </c>
      <c r="I9" s="26" t="n">
        <v>0</v>
      </c>
      <c r="J9" s="27" t="n">
        <v>1</v>
      </c>
      <c r="K9" s="26" t="n">
        <f>IF(OR(D9="",J9=""),"",(D9+IF(I9="",0,I9))/J9)</f>
        <v>10.69</v>
      </c>
      <c r="L9" s="26" t="n">
        <v>13</v>
      </c>
      <c r="M9" s="27" t="str">
        <f>IF(OR(K9="",L9=""),"",IF(IFERROR(SEARCH("Out of stock",G9),0)&gt;0,"— (out of stock)",IF(K9&lt;=L9,"★ BUY NOW","—")))</f>
        <v>★ BUY NOW</v>
      </c>
      <c r="N9" s="14" t="inlineStr">
        <is>
          <t>'From' price on SUNLU's own PLA+ collection page — individual colours run $10.69-$14.49 depending on shade. Cheapest PLA+ on this sheet.</t>
        </is>
      </c>
    </row>
    <row r="10" ht="75" customHeight="1">
      <c r="A10" s="14" t="inlineStr">
        <is>
          <t>SUNLU</t>
        </is>
      </c>
      <c r="B10" s="14" t="inlineStr">
        <is>
          <t>SUNLU PLA+ 2.0 (upgraded PLA+) 1.75mm, 1kg</t>
        </is>
      </c>
      <c r="C10" s="14" t="inlineStr">
        <is>
          <t>Colour range (from price)</t>
        </is>
      </c>
      <c r="D10" s="15" t="n">
        <v>10.99</v>
      </c>
      <c r="E10" s="15" t="n">
        <v>18.99</v>
      </c>
      <c r="F10" s="16" t="str">
        <f>IF(OR(D10="",E10=""),"",TEXT(E10-D10,"$0.00")&amp;" ("&amp;TEXT(IF(E10=0,0,1-D10/E10),"0%")&amp;")")</f>
        <v>$8.00 (42%)</v>
      </c>
      <c r="G10" s="14" t="inlineStr">
        <is>
          <t>SUNLU official store — Check on SUNLU store</t>
        </is>
      </c>
      <c r="H10" s="18" t="inlineStr">
        <is>
          <t>Open</t>
        </is>
      </c>
      <c r="I10" s="26" t="n">
        <v>0</v>
      </c>
      <c r="J10" s="27" t="n">
        <v>1</v>
      </c>
      <c r="K10" s="26" t="n">
        <f>IF(OR(D10="",J10=""),"",(D10+IF(I10="",0,I10))/J10)</f>
        <v>10.99</v>
      </c>
      <c r="L10" s="26" t="n">
        <v>13</v>
      </c>
      <c r="M10" s="27" t="str">
        <f>IF(OR(K10="",L10=""),"",IF(IFERROR(SEARCH("Out of stock",G10),0)&gt;0,"— (out of stock)",IF(K10&lt;=L10,"★ BUY NOW","—")))</f>
        <v>★ BUY NOW</v>
      </c>
      <c r="N10" s="14" t="inlineStr">
        <is>
          <t>PLA+ 2.0 is SUNLU's upgraded version, listed on the same collection page. High-Speed PLA+ / PLA+ 2.0 listings there are 6kg-minimum — read Notes before comparing.</t>
        </is>
      </c>
    </row>
    <row r="11" ht="60" customHeight="1">
      <c r="A11" s="14" t="inlineStr">
        <is>
          <t>Elegoo</t>
        </is>
      </c>
      <c r="B11" s="14" t="inlineStr">
        <is>
          <t>ELEGOO PLA Plus 1.75mm, 1kg</t>
        </is>
      </c>
      <c r="C11" s="14" t="inlineStr">
        <is>
          <t>White</t>
        </is>
      </c>
      <c r="D11" s="15" t="n">
        <v>14.99</v>
      </c>
      <c r="E11" s="15" t="n"/>
      <c r="F11" s="16" t="str">
        <f>IF(OR(D11="",E11=""),"",TEXT(E11-D11,"$0.00")&amp;" ("&amp;TEXT(IF(E11=0,0,1-D11/E11),"0%")&amp;")")</f>
        <v/>
      </c>
      <c r="G11" s="14" t="inlineStr">
        <is>
          <t>Amazon (via retailer listing) — Check on Amazon</t>
        </is>
      </c>
      <c r="H11" s="18" t="inlineStr">
        <is>
          <t>Open</t>
        </is>
      </c>
      <c r="I11" s="26" t="n">
        <v>0</v>
      </c>
      <c r="J11" s="27" t="n">
        <v>1</v>
      </c>
      <c r="K11" s="26" t="n">
        <f>IF(OR(D11="",J11=""),"",(D11+IF(I11="",0,I11))/J11)</f>
        <v>14.99</v>
      </c>
      <c r="L11" s="26" t="n">
        <v>15</v>
      </c>
      <c r="M11" s="27" t="str">
        <f>IF(OR(K11="",L11=""),"",IF(IFERROR(SEARCH("Out of stock",G11),0)&gt;0,"— (out of stock)",IF(K11&lt;=L11,"★ BUY NOW","—")))</f>
        <v>★ BUY NOW</v>
      </c>
      <c r="N11" s="14" t="inlineStr">
        <is>
          <t>Elegoo PLA+ White at $14.99 in the retailer listing that mirrors the Amazon product. Black was $16.99 in the same listing family.</t>
        </is>
      </c>
    </row>
    <row r="12" ht="60" customHeight="1">
      <c r="A12" s="14" t="inlineStr">
        <is>
          <t>Elegoo</t>
        </is>
      </c>
      <c r="B12" s="14" t="inlineStr">
        <is>
          <t>ELEGOO Rapid PLA Plus 1.75mm, 1kg</t>
        </is>
      </c>
      <c r="C12" s="14" t="inlineStr">
        <is>
          <t>White</t>
        </is>
      </c>
      <c r="D12" s="15" t="n">
        <v>14.44</v>
      </c>
      <c r="E12" s="15" t="n">
        <v>16.99</v>
      </c>
      <c r="F12" s="16" t="str">
        <f>IF(OR(D12="",E12=""),"",TEXT(E12-D12,"$0.00")&amp;" ("&amp;TEXT(IF(E12=0,0,1-D12/E12),"0%")&amp;")")</f>
        <v>$2.55 (15%)</v>
      </c>
      <c r="G12" s="14" t="inlineStr">
        <is>
          <t>Amazon (via retailer listing) — Check on Amazon</t>
        </is>
      </c>
      <c r="H12" s="18" t="inlineStr">
        <is>
          <t>Open</t>
        </is>
      </c>
      <c r="I12" s="26" t="n">
        <v>0</v>
      </c>
      <c r="J12" s="27" t="n">
        <v>1</v>
      </c>
      <c r="K12" s="26" t="n">
        <f>IF(OR(D12="",J12=""),"",(D12+IF(I12="",0,I12))/J12)</f>
        <v>14.44</v>
      </c>
      <c r="L12" s="26" t="n">
        <v>15</v>
      </c>
      <c r="M12" s="27" t="str">
        <f>IF(OR(K12="",L12=""),"",IF(IFERROR(SEARCH("Out of stock",G12),0)&gt;0,"— (out of stock)",IF(K12&lt;=L12,"★ BUY NOW","—")))</f>
        <v>★ BUY NOW</v>
      </c>
      <c r="N12" s="14" t="inlineStr">
        <is>
          <t>Rapid PLA+ is Elegoo's high-speed PLA+ (up to 600mm/s rated). Sale price $14.44 vs $16.99 in the listing.</t>
        </is>
      </c>
    </row>
    <row r="13" ht="100" customHeight="1">
      <c r="A13" s="14" t="inlineStr">
        <is>
          <t>Bambu Lab</t>
        </is>
      </c>
      <c r="B13" s="14" t="inlineStr">
        <is>
          <t>Bambu Lab PLA Tough+ 1.75mm, 1kg</t>
        </is>
      </c>
      <c r="C13" s="14" t="inlineStr">
        <is>
          <t>Colour range</t>
        </is>
      </c>
      <c r="D13" s="15" t="n"/>
      <c r="E13" s="15" t="n"/>
      <c r="F13" s="16" t="str">
        <f>IF(OR(D13="",E13=""),"",TEXT(E13-D13,"$0.00")&amp;" ("&amp;TEXT(IF(E13=0,0,1-D13/E13),"0%")&amp;")")</f>
        <v/>
      </c>
      <c r="G13" s="14" t="inlineStr">
        <is>
          <t>Bambu Lab US Store — Check on Bambu store</t>
        </is>
      </c>
      <c r="H13" s="18" t="inlineStr">
        <is>
          <t>Open</t>
        </is>
      </c>
      <c r="I13" s="26" t="n">
        <v>0</v>
      </c>
      <c r="J13" s="27" t="n">
        <v>1</v>
      </c>
      <c r="K13" s="26" t="str">
        <f>IF(OR(D13="",J13=""),"",(D13+IF(I13="",0,I13))/J13)</f>
        <v/>
      </c>
      <c r="L13" s="26" t="n">
        <v>20</v>
      </c>
      <c r="M13" s="27" t="str">
        <f>IF(OR(K13="",L13=""),"",IF(IFERROR(SEARCH("Out of stock",G13),0)&gt;0,"— (out of stock)",IF(K13&lt;=L13,"★ BUY NOW","—")))</f>
        <v/>
      </c>
      <c r="N13" s="14" t="inlineStr">
        <is>
          <t>Bambu does NOT sell a product called 'PLA+' — PLA Tough+ is its tougher-PLA equivalent. No single-spool US price was cleanly verified in this check (bulk-sale page shows it discounted in multi-roll buys), so the price is blank on purpose rather than guessed.</t>
        </is>
      </c>
    </row>
    <row r="14" ht="75" customHeight="1">
      <c r="A14" s="14" t="inlineStr">
        <is>
          <t>Creality</t>
        </is>
      </c>
      <c r="B14" s="14" t="inlineStr">
        <is>
          <t>Creality PLA+ / Ender PLA+ 1.75mm, 1kg</t>
        </is>
      </c>
      <c r="C14" s="14" t="inlineStr">
        <is>
          <t>—</t>
        </is>
      </c>
      <c r="D14" s="15" t="n"/>
      <c r="E14" s="15" t="n"/>
      <c r="F14" s="16" t="str">
        <f>IF(OR(D14="",E14=""),"",TEXT(E14-D14,"$0.00")&amp;" ("&amp;TEXT(IF(E14=0,0,1-D14/E14),"0%")&amp;")")</f>
        <v/>
      </c>
      <c r="G14" s="14" t="inlineStr">
        <is>
          <t>Creality / retailers — Not verified</t>
        </is>
      </c>
      <c r="H14" s="14" t="n"/>
      <c r="I14" s="26" t="n">
        <v>0</v>
      </c>
      <c r="J14" s="27" t="n">
        <v>1</v>
      </c>
      <c r="K14" s="26" t="str">
        <f>IF(OR(D14="",J14=""),"",(D14+IF(I14="",0,I14))/J14)</f>
        <v/>
      </c>
      <c r="L14" s="26" t="n">
        <v>16</v>
      </c>
      <c r="M14" s="27" t="str">
        <f>IF(OR(K14="",L14=""),"",IF(IFERROR(SEARCH("Out of stock",G14),0)&gt;0,"— (out of stock)",IF(K14&lt;=L14,"★ BUY NOW","—")))</f>
        <v/>
      </c>
      <c r="N14" s="14" t="inlineStr">
        <is>
          <t>No verified US single-spool price for a Creality-branded PLA+ in this check. Creality's tough / fast PLA offer is Hyper PLA — see the Regular PLA tab. Blank on purpose.</t>
        </is>
      </c>
    </row>
  </sheetData>
  <autoFilter ref="A4:N4"/>
  <mergeCells count="3">
    <mergeCell ref="A3:N3"/>
    <mergeCell ref="A2:N2"/>
    <mergeCell ref="A1:N1"/>
  </mergeCells>
  <conditionalFormatting sqref="M5:M14">
    <cfRule type="expression" priority="1" dxfId="0" stopIfTrue="0">
      <formula>$M5="★ BUY NOW"</formula>
    </cfRule>
  </conditionalFormatting>
  <hyperlinks>
    <hyperlink xmlns:r="http://schemas.openxmlformats.org/officeDocument/2006/relationships" ref="H5" r:id="rId1"/>
    <hyperlink xmlns:r="http://schemas.openxmlformats.org/officeDocument/2006/relationships" ref="H6" r:id="rId2"/>
    <hyperlink xmlns:r="http://schemas.openxmlformats.org/officeDocument/2006/relationships" ref="H7" r:id="rId3"/>
    <hyperlink xmlns:r="http://schemas.openxmlformats.org/officeDocument/2006/relationships" ref="H8" r:id="rId4"/>
    <hyperlink xmlns:r="http://schemas.openxmlformats.org/officeDocument/2006/relationships" ref="H9" r:id="rId5"/>
    <hyperlink xmlns:r="http://schemas.openxmlformats.org/officeDocument/2006/relationships" ref="H10" r:id="rId6"/>
    <hyperlink xmlns:r="http://schemas.openxmlformats.org/officeDocument/2006/relationships" ref="H11" r:id="rId7"/>
    <hyperlink xmlns:r="http://schemas.openxmlformats.org/officeDocument/2006/relationships" ref="H12" r:id="rId8"/>
    <hyperlink xmlns:r="http://schemas.openxmlformats.org/officeDocument/2006/relationships" ref="H13" r:id="rId9"/>
  </hyperlinks>
  <pageMargins left="0.75" right="0.75" top="1" bottom="1" header="0.5" footer="0.5"/>
  <pageSetup orientation="landscape" fitToHeight="0" fitToWidth="1"/>
</worksheet>
</file>

<file path=xl/worksheets/sheet4.xml><?xml version="1.0" encoding="utf-8"?>
<worksheet xmlns="http://schemas.openxmlformats.org/spreadsheetml/2006/main">
  <sheetPr>
    <tabColor rgb="005B9BD5"/>
    <outlinePr summaryBelow="1" summaryRight="1"/>
    <pageSetUpPr fitToPage="1"/>
  </sheetPr>
  <dimension ref="A1:N13"/>
  <sheetViews>
    <sheetView zoomScale="85" workbookViewId="0">
      <pane ySplit="4" topLeftCell="A5" activePane="bottomLeft" state="frozen"/>
      <selection pane="bottomLeft" activeCell="A1" sqref="A1"/>
    </sheetView>
  </sheetViews>
  <sheetFormatPr baseColWidth="8" defaultRowHeight="15"/>
  <cols>
    <col width="13" customWidth="1" min="1" max="1"/>
    <col width="24" customWidth="1" min="2" max="2"/>
    <col width="12" customWidth="1" min="3" max="3"/>
    <col width="9" customWidth="1" min="4" max="4"/>
    <col width="9" customWidth="1" min="5" max="5"/>
    <col width="13" customWidth="1" min="6" max="6"/>
    <col width="20" customWidth="1" min="7" max="7"/>
    <col width="6" customWidth="1" min="8" max="8"/>
    <col width="9" customWidth="1" min="9" max="9"/>
    <col width="7" customWidth="1" min="10" max="10"/>
    <col width="11" customWidth="1" min="11" max="11"/>
    <col width="11" customWidth="1" min="12" max="12"/>
    <col width="12" customWidth="1" min="13" max="13"/>
    <col width="28" customWidth="1" min="14" max="14"/>
  </cols>
  <sheetData>
    <row r="1">
      <c r="A1" s="8" t="inlineStr">
        <is>
          <t>Filament Pricing — Silk PLA (1.75mm, 1kg)</t>
        </is>
      </c>
    </row>
    <row r="2" ht="62" customHeight="1">
      <c r="A2" s="2" t="inlineStr">
        <is>
          <t>1.75mm, 1kg single spool unless Notes say bundle / refill / minimum order. All rows checked 2026-10-11 (Amazon + brand stores + Micro Center). Compact layout: Savings shows $ and % in one column, the source is the short 'Open' link, and stock is shown together with Where to Buy. NEW columns: Shipping $ (starts at $0 — pickup / Prime / free-shipping default; type the real shipping charge for an order and the rest updates), Spools, Delivered / spool = (Price + Shipping) / Spools, Buy at / under threshold, and a Deal? flag — a green star BUY NOW means the delivered per-spool cost is at or under the threshold (out-of-stock rows never flag). Thresholds and Shipping are editable — see How to Use.</t>
        </is>
      </c>
    </row>
    <row r="3" ht="44" customHeight="1">
      <c r="A3" s="20" t="inlineStr">
        <is>
          <t>SILK = shiny, metallic-look PLA for display pieces — the opposite finish from matte. CHEAPEST VERIFIED: SUNLU SILK PLA+ 2.0 $14.99 on SUNLU's store, then Inland Silk Gold $15.99 at Micro Center. Bambu's Silk+ is the priciest at $24.99.</t>
        </is>
      </c>
    </row>
    <row r="4" ht="30" customHeight="1">
      <c r="A4" s="9" t="inlineStr">
        <is>
          <t>Brand</t>
        </is>
      </c>
      <c r="B4" s="9" t="inlineStr">
        <is>
          <t>Product</t>
        </is>
      </c>
      <c r="C4" s="9" t="inlineStr">
        <is>
          <t>Colour / Shade</t>
        </is>
      </c>
      <c r="D4" s="9" t="inlineStr">
        <is>
          <t>Price ($)</t>
        </is>
      </c>
      <c r="E4" s="9" t="inlineStr">
        <is>
          <t>List ($)</t>
        </is>
      </c>
      <c r="F4" s="9" t="inlineStr">
        <is>
          <t>Savings</t>
        </is>
      </c>
      <c r="G4" s="9" t="inlineStr">
        <is>
          <t>Where to Buy / Stock</t>
        </is>
      </c>
      <c r="H4" s="9" t="inlineStr">
        <is>
          <t>Link</t>
        </is>
      </c>
      <c r="I4" s="9" t="inlineStr">
        <is>
          <t>Shipping ($)</t>
        </is>
      </c>
      <c r="J4" s="9" t="inlineStr">
        <is>
          <t>Spools</t>
        </is>
      </c>
      <c r="K4" s="9" t="inlineStr">
        <is>
          <t>Delivered / spool ($)</t>
        </is>
      </c>
      <c r="L4" s="9" t="inlineStr">
        <is>
          <t>Buy at / under ($/spool)</t>
        </is>
      </c>
      <c r="M4" s="9" t="inlineStr">
        <is>
          <t>Deal?</t>
        </is>
      </c>
      <c r="N4" s="9" t="inlineStr">
        <is>
          <t>Notes</t>
        </is>
      </c>
    </row>
    <row r="5" ht="45" customHeight="1">
      <c r="A5" s="14" t="inlineStr">
        <is>
          <t>Inland (Micro Center)</t>
        </is>
      </c>
      <c r="B5" s="14" t="inlineStr">
        <is>
          <t>Inland Silk PLA 1.75mm, 1kg Spool</t>
        </is>
      </c>
      <c r="C5" s="14" t="inlineStr">
        <is>
          <t>Silk Gold</t>
        </is>
      </c>
      <c r="D5" s="15" t="n">
        <v>15.99</v>
      </c>
      <c r="E5" s="15" t="n"/>
      <c r="F5" s="16" t="str">
        <f>IF(OR(D5="",E5=""),"",TEXT(E5-D5,"$0.00")&amp;" ("&amp;TEXT(IF(E5=0,0,1-D5/E5),"0%")&amp;")")</f>
        <v/>
      </c>
      <c r="G5" s="17" t="inlineStr">
        <is>
          <t>Micro Center — In stock</t>
        </is>
      </c>
      <c r="H5" s="18" t="inlineStr">
        <is>
          <t>Open</t>
        </is>
      </c>
      <c r="I5" s="26" t="n">
        <v>0</v>
      </c>
      <c r="J5" s="27" t="n">
        <v>1</v>
      </c>
      <c r="K5" s="26" t="n">
        <f>IF(OR(D5="",J5=""),"",(D5+IF(I5="",0,I5))/J5)</f>
        <v>15.99</v>
      </c>
      <c r="L5" s="26" t="n">
        <v>16</v>
      </c>
      <c r="M5" s="27" t="str">
        <f>IF(OR(K5="",L5=""),"",IF(IFERROR(SEARCH("Out of stock",G5),0)&gt;0,"— (out of stock)",IF(K5&lt;=L5,"★ BUY NOW","—")))</f>
        <v>★ BUY NOW</v>
      </c>
      <c r="N5" s="14" t="inlineStr">
        <is>
          <t>Cheapest verified single-spool Silk from a walk-in store in this check.</t>
        </is>
      </c>
    </row>
    <row r="6" ht="45" customHeight="1">
      <c r="A6" s="14" t="inlineStr">
        <is>
          <t>Inland (Micro Center)</t>
        </is>
      </c>
      <c r="B6" s="14" t="inlineStr">
        <is>
          <t>Inland Silk PLA 1.75mm, 1kg</t>
        </is>
      </c>
      <c r="C6" s="14" t="inlineStr">
        <is>
          <t>Silk Cyan</t>
        </is>
      </c>
      <c r="D6" s="15" t="n">
        <v>17.99</v>
      </c>
      <c r="E6" s="15" t="n"/>
      <c r="F6" s="16" t="str">
        <f>IF(OR(D6="",E6=""),"",TEXT(E6-D6,"$0.00")&amp;" ("&amp;TEXT(IF(E6=0,0,1-D6/E6),"0%")&amp;")")</f>
        <v/>
      </c>
      <c r="G6" s="17" t="inlineStr">
        <is>
          <t>Micro Center — In stock</t>
        </is>
      </c>
      <c r="H6" s="18" t="inlineStr">
        <is>
          <t>Open</t>
        </is>
      </c>
      <c r="I6" s="26" t="n">
        <v>0</v>
      </c>
      <c r="J6" s="27" t="n">
        <v>1</v>
      </c>
      <c r="K6" s="26" t="n">
        <f>IF(OR(D6="",J6=""),"",(D6+IF(I6="",0,I6))/J6)</f>
        <v>17.99</v>
      </c>
      <c r="L6" s="26" t="n">
        <v>16</v>
      </c>
      <c r="M6" s="27" t="str">
        <f>IF(OR(K6="",L6=""),"",IF(IFERROR(SEARCH("Out of stock",G6),0)&gt;0,"— (out of stock)",IF(K6&lt;=L6,"★ BUY NOW","—")))</f>
        <v>—</v>
      </c>
      <c r="N6" s="14" t="inlineStr">
        <is>
          <t>Second Inland silk shade verified — silk colours cost more than Inland's matte/PLA+ line.</t>
        </is>
      </c>
    </row>
    <row r="7" ht="60" customHeight="1">
      <c r="A7" s="14" t="inlineStr">
        <is>
          <t>Overture</t>
        </is>
      </c>
      <c r="B7" s="14" t="inlineStr">
        <is>
          <t>OVERTURE Silk PLA 1.75mm, 1kg</t>
        </is>
      </c>
      <c r="C7" s="14" t="inlineStr">
        <is>
          <t>Silk Gold</t>
        </is>
      </c>
      <c r="D7" s="15" t="n">
        <v>16.19</v>
      </c>
      <c r="E7" s="15" t="n">
        <v>23.99</v>
      </c>
      <c r="F7" s="16" t="str">
        <f>IF(OR(D7="",E7=""),"",TEXT(E7-D7,"$0.00")&amp;" ("&amp;TEXT(IF(E7=0,0,1-D7/E7),"0%")&amp;")")</f>
        <v>$7.80 (33%)</v>
      </c>
      <c r="G7" s="14" t="inlineStr">
        <is>
          <t>Amazon — Check on Amazon</t>
        </is>
      </c>
      <c r="H7" s="18" t="inlineStr">
        <is>
          <t>Open</t>
        </is>
      </c>
      <c r="I7" s="26" t="n">
        <v>0</v>
      </c>
      <c r="J7" s="27" t="n">
        <v>1</v>
      </c>
      <c r="K7" s="26" t="n">
        <f>IF(OR(D7="",J7=""),"",(D7+IF(I7="",0,I7))/J7)</f>
        <v>16.19</v>
      </c>
      <c r="L7" s="26" t="n">
        <v>17</v>
      </c>
      <c r="M7" s="27" t="str">
        <f>IF(OR(K7="",L7=""),"",IF(IFERROR(SEARCH("Out of stock",G7),0)&gt;0,"— (out of stock)",IF(K7&lt;=L7,"★ BUY NOW","—")))</f>
        <v>★ BUY NOW</v>
      </c>
      <c r="N7" s="14" t="inlineStr">
        <is>
          <t>Amazon listing price at the check vs $23.99 list. Shiny/metallic-look silk — display pieces, not the matte village finish.</t>
        </is>
      </c>
    </row>
    <row r="8" ht="45" customHeight="1">
      <c r="A8" s="14" t="inlineStr">
        <is>
          <t>Overture</t>
        </is>
      </c>
      <c r="B8" s="14" t="inlineStr">
        <is>
          <t>OVERTURE Silk PLA 1.75mm, 1kg</t>
        </is>
      </c>
      <c r="C8" s="14" t="inlineStr">
        <is>
          <t>Silk Silver</t>
        </is>
      </c>
      <c r="D8" s="15" t="n">
        <v>17.99</v>
      </c>
      <c r="E8" s="15" t="n">
        <v>19.99</v>
      </c>
      <c r="F8" s="16" t="str">
        <f>IF(OR(D8="",E8=""),"",TEXT(E8-D8,"$0.00")&amp;" ("&amp;TEXT(IF(E8=0,0,1-D8/E8),"0%")&amp;")")</f>
        <v>$2.00 (10%)</v>
      </c>
      <c r="G8" s="14" t="inlineStr">
        <is>
          <t>Amazon — Check on Amazon</t>
        </is>
      </c>
      <c r="H8" s="18" t="inlineStr">
        <is>
          <t>Open</t>
        </is>
      </c>
      <c r="I8" s="26" t="n">
        <v>0</v>
      </c>
      <c r="J8" s="27" t="n">
        <v>1</v>
      </c>
      <c r="K8" s="26" t="n">
        <f>IF(OR(D8="",J8=""),"",(D8+IF(I8="",0,I8))/J8)</f>
        <v>17.99</v>
      </c>
      <c r="L8" s="26" t="n">
        <v>17</v>
      </c>
      <c r="M8" s="27" t="str">
        <f>IF(OR(K8="",L8=""),"",IF(IFERROR(SEARCH("Out of stock",G8),0)&gt;0,"— (out of stock)",IF(K8&lt;=L8,"★ BUY NOW","—")))</f>
        <v>—</v>
      </c>
      <c r="N8" s="14" t="inlineStr">
        <is>
          <t>$17.99 was the Subscribe &amp; Save price on the listing; one-time price $19.99.</t>
        </is>
      </c>
    </row>
    <row r="9" ht="100" customHeight="1">
      <c r="A9" s="14" t="inlineStr">
        <is>
          <t>SUNLU</t>
        </is>
      </c>
      <c r="B9" s="14" t="inlineStr">
        <is>
          <t>SUNLU SILK PLA+ 2.0 1.75mm, 1kg</t>
        </is>
      </c>
      <c r="C9" s="14" t="inlineStr">
        <is>
          <t>Silk colour range</t>
        </is>
      </c>
      <c r="D9" s="15" t="n">
        <v>14.99</v>
      </c>
      <c r="E9" s="15" t="n"/>
      <c r="F9" s="16" t="str">
        <f>IF(OR(D9="",E9=""),"",TEXT(E9-D9,"$0.00")&amp;" ("&amp;TEXT(IF(E9=0,0,1-D9/E9),"0%")&amp;")")</f>
        <v/>
      </c>
      <c r="G9" s="14" t="inlineStr">
        <is>
          <t>SUNLU official store — Check on SUNLU store</t>
        </is>
      </c>
      <c r="H9" s="18" t="inlineStr">
        <is>
          <t>Open</t>
        </is>
      </c>
      <c r="I9" s="26" t="n">
        <v>0</v>
      </c>
      <c r="J9" s="27" t="n">
        <v>1</v>
      </c>
      <c r="K9" s="26" t="n">
        <f>IF(OR(D9="",J9=""),"",(D9+IF(I9="",0,I9))/J9)</f>
        <v>14.99</v>
      </c>
      <c r="L9" s="26" t="n">
        <v>15</v>
      </c>
      <c r="M9" s="27" t="str">
        <f>IF(OR(K9="",L9=""),"",IF(IFERROR(SEARCH("Out of stock",G9),0)&gt;0,"— (out of stock)",IF(K9&lt;=L9,"★ BUY NOW","—")))</f>
        <v>★ BUY NOW</v>
      </c>
      <c r="N9" s="14" t="inlineStr">
        <is>
          <t>SUNLU's current silk is a PLA+ silk (tougher than plain silk PLA). Product-page price $14.99; some variants $15.99. The older SILK PLA+ listing showed $13.49 vs $29.99 in SUNLU's store summary — confirm which version is in the cart.</t>
        </is>
      </c>
    </row>
    <row r="10" ht="75" customHeight="1">
      <c r="A10" s="14" t="inlineStr">
        <is>
          <t>Elegoo</t>
        </is>
      </c>
      <c r="B10" s="14" t="inlineStr">
        <is>
          <t>ELEGOO Silk PLA 1.75mm, 1kg</t>
        </is>
      </c>
      <c r="C10" s="14" t="inlineStr">
        <is>
          <t>Silk colour range</t>
        </is>
      </c>
      <c r="D10" s="15" t="n"/>
      <c r="E10" s="15" t="n"/>
      <c r="F10" s="16" t="str">
        <f>IF(OR(D10="",E10=""),"",TEXT(E10-D10,"$0.00")&amp;" ("&amp;TEXT(IF(E10=0,0,1-D10/E10),"0%")&amp;")")</f>
        <v/>
      </c>
      <c r="G10" s="14" t="inlineStr">
        <is>
          <t>Amazon — Check on Amazon</t>
        </is>
      </c>
      <c r="H10" s="14" t="n"/>
      <c r="I10" s="26" t="n">
        <v>0</v>
      </c>
      <c r="J10" s="27" t="n">
        <v>1</v>
      </c>
      <c r="K10" s="26" t="str">
        <f>IF(OR(D10="",J10=""),"",(D10+IF(I10="",0,I10))/J10)</f>
        <v/>
      </c>
      <c r="L10" s="26" t="n">
        <v>16</v>
      </c>
      <c r="M10" s="27" t="str">
        <f>IF(OR(K10="",L10=""),"",IF(IFERROR(SEARCH("Out of stock",G10),0)&gt;0,"— (out of stock)",IF(K10&lt;=L10,"★ BUY NOW","—")))</f>
        <v/>
      </c>
      <c r="N10" s="14" t="inlineStr">
        <is>
          <t>Elegoo sells Silk PLA (it appears in Elegoo's Amazon/eBay filament lots), but no verified single-spool US price was found in this check — blank on purpose.</t>
        </is>
      </c>
    </row>
    <row r="11" ht="100" customHeight="1">
      <c r="A11" s="14" t="inlineStr">
        <is>
          <t>Bambu Lab</t>
        </is>
      </c>
      <c r="B11" s="14" t="inlineStr">
        <is>
          <t>Bambu Lab PLA Silk+ 1.75mm, 1kg</t>
        </is>
      </c>
      <c r="C11" s="14" t="inlineStr">
        <is>
          <t>Silk colour range</t>
        </is>
      </c>
      <c r="D11" s="15" t="n">
        <v>24.99</v>
      </c>
      <c r="E11" s="15" t="n"/>
      <c r="F11" s="16" t="str">
        <f>IF(OR(D11="",E11=""),"",TEXT(E11-D11,"$0.00")&amp;" ("&amp;TEXT(IF(E11=0,0,1-D11/E11),"0%")&amp;")")</f>
        <v/>
      </c>
      <c r="G11" s="14" t="inlineStr">
        <is>
          <t>Bambu Lab US Store — Check on Bambu store</t>
        </is>
      </c>
      <c r="H11" s="18" t="inlineStr">
        <is>
          <t>Open</t>
        </is>
      </c>
      <c r="I11" s="26" t="n">
        <v>0</v>
      </c>
      <c r="J11" s="27" t="n">
        <v>1</v>
      </c>
      <c r="K11" s="26" t="n">
        <f>IF(OR(D11="",J11=""),"",(D11+IF(I11="",0,I11))/J11)</f>
        <v>24.99</v>
      </c>
      <c r="L11" s="26" t="n">
        <v>23</v>
      </c>
      <c r="M11" s="27" t="str">
        <f>IF(OR(K11="",L11=""),"",IF(IFERROR(SEARCH("Out of stock",G11),0)&gt;0,"— (out of stock)",IF(K11&lt;=L11,"★ BUY NOW","—")))</f>
        <v>—</v>
      </c>
      <c r="N11" s="14" t="inlineStr">
        <is>
          <t>List price $24.99 on Bambu's US all-filaments page. Note: Bambu's bulk-sale table lists PLA Silk+ with-spool at a $22.99 original price — its pages disagree, so confirm at checkout. RFID for AMS. With-spool only in the bulk table (no refill price listed there).</t>
        </is>
      </c>
    </row>
    <row r="12" ht="45" customHeight="1">
      <c r="A12" s="14" t="inlineStr">
        <is>
          <t>Bambu Lab</t>
        </is>
      </c>
      <c r="B12" s="14" t="inlineStr">
        <is>
          <t>Bambu Lab PLA Silk Multi-Color 1.75mm, 1kg</t>
        </is>
      </c>
      <c r="C12" s="14" t="inlineStr">
        <is>
          <t>Multi-colour silk</t>
        </is>
      </c>
      <c r="D12" s="15" t="n">
        <v>24.99</v>
      </c>
      <c r="E12" s="15" t="n"/>
      <c r="F12" s="16" t="str">
        <f>IF(OR(D12="",E12=""),"",TEXT(E12-D12,"$0.00")&amp;" ("&amp;TEXT(IF(E12=0,0,1-D12/E12),"0%")&amp;")")</f>
        <v/>
      </c>
      <c r="G12" s="14" t="inlineStr">
        <is>
          <t>Bambu Lab US Store — Check on Bambu store</t>
        </is>
      </c>
      <c r="H12" s="18" t="inlineStr">
        <is>
          <t>Open</t>
        </is>
      </c>
      <c r="I12" s="26" t="n">
        <v>0</v>
      </c>
      <c r="J12" s="27" t="n">
        <v>1</v>
      </c>
      <c r="K12" s="26" t="n">
        <f>IF(OR(D12="",J12=""),"",(D12+IF(I12="",0,I12))/J12)</f>
        <v>24.99</v>
      </c>
      <c r="L12" s="26" t="n">
        <v>23</v>
      </c>
      <c r="M12" s="27" t="str">
        <f>IF(OR(K12="",L12=""),"",IF(IFERROR(SEARCH("Out of stock",G12),0)&gt;0,"— (out of stock)",IF(K12&lt;=L12,"★ BUY NOW","—")))</f>
        <v>—</v>
      </c>
      <c r="N12" s="14" t="inlineStr">
        <is>
          <t>Gradient / multi-colour silk version, same $24.99 list price on Bambu's all-filaments page.</t>
        </is>
      </c>
    </row>
    <row r="13" ht="75" customHeight="1">
      <c r="A13" s="14" t="inlineStr">
        <is>
          <t>Creality</t>
        </is>
      </c>
      <c r="B13" s="14" t="inlineStr">
        <is>
          <t>Creality CR-Silk PLA 1.75mm, 1kg</t>
        </is>
      </c>
      <c r="C13" s="14" t="inlineStr">
        <is>
          <t>Silk colour range</t>
        </is>
      </c>
      <c r="D13" s="15" t="n"/>
      <c r="E13" s="15" t="n"/>
      <c r="F13" s="16" t="str">
        <f>IF(OR(D13="",E13=""),"",TEXT(E13-D13,"$0.00")&amp;" ("&amp;TEXT(IF(E13=0,0,1-D13/E13),"0%")&amp;")")</f>
        <v/>
      </c>
      <c r="G13" s="14" t="inlineStr">
        <is>
          <t>Creality / retailers — Check retailer</t>
        </is>
      </c>
      <c r="H13" s="18" t="inlineStr">
        <is>
          <t>Open</t>
        </is>
      </c>
      <c r="I13" s="26" t="n">
        <v>0</v>
      </c>
      <c r="J13" s="27" t="n">
        <v>1</v>
      </c>
      <c r="K13" s="26" t="str">
        <f>IF(OR(D13="",J13=""),"",(D13+IF(I13="",0,I13))/J13)</f>
        <v/>
      </c>
      <c r="L13" s="26" t="n">
        <v>17</v>
      </c>
      <c r="M13" s="27" t="str">
        <f>IF(OR(K13="",L13=""),"",IF(IFERROR(SEARCH("Out of stock",G13),0)&gt;0,"— (out of stock)",IF(K13&lt;=L13,"★ BUY NOW","—")))</f>
        <v/>
      </c>
      <c r="N13" s="14" t="inlineStr">
        <is>
          <t>CR-Silk exists (retailer/marketplace listings found), but no verified Creality US store single-spool price in this check — blank on purpose.</t>
        </is>
      </c>
    </row>
  </sheetData>
  <autoFilter ref="A4:N4"/>
  <mergeCells count="3">
    <mergeCell ref="A3:N3"/>
    <mergeCell ref="A2:N2"/>
    <mergeCell ref="A1:N1"/>
  </mergeCells>
  <conditionalFormatting sqref="M5:M13">
    <cfRule type="expression" priority="1" dxfId="0" stopIfTrue="0">
      <formula>$M5="★ BUY NOW"</formula>
    </cfRule>
  </conditionalFormatting>
  <hyperlinks>
    <hyperlink xmlns:r="http://schemas.openxmlformats.org/officeDocument/2006/relationships" ref="H5" r:id="rId1"/>
    <hyperlink xmlns:r="http://schemas.openxmlformats.org/officeDocument/2006/relationships" ref="H6" r:id="rId2"/>
    <hyperlink xmlns:r="http://schemas.openxmlformats.org/officeDocument/2006/relationships" ref="H7" r:id="rId3"/>
    <hyperlink xmlns:r="http://schemas.openxmlformats.org/officeDocument/2006/relationships" ref="H8" r:id="rId4"/>
    <hyperlink xmlns:r="http://schemas.openxmlformats.org/officeDocument/2006/relationships" ref="H9" r:id="rId5"/>
    <hyperlink xmlns:r="http://schemas.openxmlformats.org/officeDocument/2006/relationships" ref="H11" r:id="rId6"/>
    <hyperlink xmlns:r="http://schemas.openxmlformats.org/officeDocument/2006/relationships" ref="H12" r:id="rId7"/>
    <hyperlink xmlns:r="http://schemas.openxmlformats.org/officeDocument/2006/relationships" ref="H13" r:id="rId8"/>
  </hyperlinks>
  <pageMargins left="0.75" right="0.75" top="1" bottom="1" header="0.5" footer="0.5"/>
  <pageSetup orientation="landscape" fitToHeight="0" fitToWidth="1"/>
</worksheet>
</file>

<file path=xl/worksheets/sheet5.xml><?xml version="1.0" encoding="utf-8"?>
<worksheet xmlns="http://schemas.openxmlformats.org/spreadsheetml/2006/main">
  <sheetPr>
    <tabColor rgb="005B9BD5"/>
    <outlinePr summaryBelow="1" summaryRight="1"/>
    <pageSetUpPr fitToPage="1"/>
  </sheetPr>
  <dimension ref="A1:N12"/>
  <sheetViews>
    <sheetView zoomScale="85" workbookViewId="0">
      <pane ySplit="4" topLeftCell="A5" activePane="bottomLeft" state="frozen"/>
      <selection pane="bottomLeft" activeCell="A1" sqref="A1"/>
    </sheetView>
  </sheetViews>
  <sheetFormatPr baseColWidth="8" defaultRowHeight="15"/>
  <cols>
    <col width="13" customWidth="1" min="1" max="1"/>
    <col width="24" customWidth="1" min="2" max="2"/>
    <col width="12" customWidth="1" min="3" max="3"/>
    <col width="9" customWidth="1" min="4" max="4"/>
    <col width="9" customWidth="1" min="5" max="5"/>
    <col width="13" customWidth="1" min="6" max="6"/>
    <col width="20" customWidth="1" min="7" max="7"/>
    <col width="6" customWidth="1" min="8" max="8"/>
    <col width="9" customWidth="1" min="9" max="9"/>
    <col width="7" customWidth="1" min="10" max="10"/>
    <col width="11" customWidth="1" min="11" max="11"/>
    <col width="11" customWidth="1" min="12" max="12"/>
    <col width="12" customWidth="1" min="13" max="13"/>
    <col width="28" customWidth="1" min="14" max="14"/>
  </cols>
  <sheetData>
    <row r="1">
      <c r="A1" s="8" t="inlineStr">
        <is>
          <t>Filament Pricing — Regular PLA (standard / glossy) (1.75mm, 1kg)</t>
        </is>
      </c>
    </row>
    <row r="2" ht="62" customHeight="1">
      <c r="A2" s="2" t="inlineStr">
        <is>
          <t>1.75mm, 1kg single spool unless Notes say bundle / refill / minimum order. All rows checked 2026-10-11 (Amazon + brand stores + Micro Center). Compact layout: Savings shows $ and % in one column, the source is the short 'Open' link, and stock is shown together with Where to Buy. NEW columns: Shipping $ (starts at $0 — pickup / Prime / free-shipping default; type the real shipping charge for an order and the rest updates), Spools, Delivered / spool = (Price + Shipping) / Spools, Buy at / under threshold, and a Deal? flag — a green star BUY NOW means the delivered per-spool cost is at or under the threshold (out-of-stock rows never flag). Thresholds and Shipping are editable — see How to Use.</t>
        </is>
      </c>
    </row>
    <row r="3" ht="44" customHeight="1">
      <c r="A3" s="20" t="inlineStr">
        <is>
          <t>REGULAR PLA = the standard glossy PLA Scott does NOT normally buy (he uses Matte) — tracked here so the price picture is complete. CHEAPEST VERIFIED: SUNLU regular PLA from $10.59, Creality Ender PLA White $13.29, Elegoo PLA $13.99.</t>
        </is>
      </c>
    </row>
    <row r="4" ht="30" customHeight="1">
      <c r="A4" s="9" t="inlineStr">
        <is>
          <t>Brand</t>
        </is>
      </c>
      <c r="B4" s="9" t="inlineStr">
        <is>
          <t>Product</t>
        </is>
      </c>
      <c r="C4" s="9" t="inlineStr">
        <is>
          <t>Colour / Shade</t>
        </is>
      </c>
      <c r="D4" s="9" t="inlineStr">
        <is>
          <t>Price ($)</t>
        </is>
      </c>
      <c r="E4" s="9" t="inlineStr">
        <is>
          <t>List ($)</t>
        </is>
      </c>
      <c r="F4" s="9" t="inlineStr">
        <is>
          <t>Savings</t>
        </is>
      </c>
      <c r="G4" s="9" t="inlineStr">
        <is>
          <t>Where to Buy / Stock</t>
        </is>
      </c>
      <c r="H4" s="9" t="inlineStr">
        <is>
          <t>Link</t>
        </is>
      </c>
      <c r="I4" s="9" t="inlineStr">
        <is>
          <t>Shipping ($)</t>
        </is>
      </c>
      <c r="J4" s="9" t="inlineStr">
        <is>
          <t>Spools</t>
        </is>
      </c>
      <c r="K4" s="9" t="inlineStr">
        <is>
          <t>Delivered / spool ($)</t>
        </is>
      </c>
      <c r="L4" s="9" t="inlineStr">
        <is>
          <t>Buy at / under ($/spool)</t>
        </is>
      </c>
      <c r="M4" s="9" t="inlineStr">
        <is>
          <t>Deal?</t>
        </is>
      </c>
      <c r="N4" s="9" t="inlineStr">
        <is>
          <t>Notes</t>
        </is>
      </c>
    </row>
    <row r="5" ht="100" customHeight="1">
      <c r="A5" s="14" t="inlineStr">
        <is>
          <t>Inland (Micro Center)</t>
        </is>
      </c>
      <c r="B5" s="14" t="inlineStr">
        <is>
          <t>Inland PLA 1.75mm, 1kg (regular / standard)</t>
        </is>
      </c>
      <c r="C5" s="14" t="inlineStr">
        <is>
          <t>Core colours</t>
        </is>
      </c>
      <c r="D5" s="15" t="n"/>
      <c r="E5" s="15" t="n"/>
      <c r="F5" s="16" t="str">
        <f>IF(OR(D5="",E5=""),"",TEXT(E5-D5,"$0.00")&amp;" ("&amp;TEXT(IF(E5=0,0,1-D5/E5),"0%")&amp;")")</f>
        <v/>
      </c>
      <c r="G5" s="14" t="inlineStr">
        <is>
          <t>Micro Center — Check in store</t>
        </is>
      </c>
      <c r="H5" s="18" t="inlineStr">
        <is>
          <t>Open</t>
        </is>
      </c>
      <c r="I5" s="26" t="n">
        <v>0</v>
      </c>
      <c r="J5" s="27" t="n">
        <v>1</v>
      </c>
      <c r="K5" s="26" t="str">
        <f>IF(OR(D5="",J5=""),"",(D5+IF(I5="",0,I5))/J5)</f>
        <v/>
      </c>
      <c r="L5" s="26" t="n">
        <v>14</v>
      </c>
      <c r="M5" s="27" t="str">
        <f>IF(OR(K5="",L5=""),"",IF(IFERROR(SEARCH("Out of stock",G5),0)&gt;0,"— (out of stock)",IF(K5&lt;=L5,"★ BUY NOW","—")))</f>
        <v/>
      </c>
      <c r="N5" s="14" t="inlineStr">
        <is>
          <t>Inland regular PLA exists at Micro Center, but no single-shade US price was separately verified in this check (Inland's verified prices here are Matte $13.99, PLA+ and Silk). Blank on purpose — watcher to verify a White/Black regular PLA price next run.</t>
        </is>
      </c>
    </row>
    <row r="6" ht="100" customHeight="1">
      <c r="A6" s="14" t="inlineStr">
        <is>
          <t>Overture</t>
        </is>
      </c>
      <c r="B6" s="14" t="inlineStr">
        <is>
          <t>OVERTURE PLA 1.75mm, 1kg (regular)</t>
        </is>
      </c>
      <c r="C6" s="14" t="inlineStr">
        <is>
          <t>White / core colours</t>
        </is>
      </c>
      <c r="D6" s="15" t="n">
        <v>16.99</v>
      </c>
      <c r="E6" s="15" t="n">
        <v>22.99</v>
      </c>
      <c r="F6" s="16" t="str">
        <f>IF(OR(D6="",E6=""),"",TEXT(E6-D6,"$0.00")&amp;" ("&amp;TEXT(IF(E6=0,0,1-D6/E6),"0%")&amp;")")</f>
        <v>$6.00 (26%)</v>
      </c>
      <c r="G6" s="14" t="inlineStr">
        <is>
          <t>Overture official store — Check on Overture store</t>
        </is>
      </c>
      <c r="H6" s="18" t="inlineStr">
        <is>
          <t>Open</t>
        </is>
      </c>
      <c r="I6" s="26" t="n">
        <v>0</v>
      </c>
      <c r="J6" s="27" t="n">
        <v>1</v>
      </c>
      <c r="K6" s="26" t="n">
        <f>IF(OR(D6="",J6=""),"",(D6+IF(I6="",0,I6))/J6)</f>
        <v>16.99</v>
      </c>
      <c r="L6" s="26" t="n">
        <v>17</v>
      </c>
      <c r="M6" s="27" t="str">
        <f>IF(OR(K6="",L6=""),"",IF(IFERROR(SEARCH("Out of stock",G6),0)&gt;0,"— (out of stock)",IF(K6&lt;=L6,"★ BUY NOW","—")))</f>
        <v>★ BUY NOW</v>
      </c>
      <c r="N6" s="14" t="inlineStr">
        <is>
          <t>Regular (glossy/standard) Overture PLA — the line Scott does NOT normally buy. Price carried from the 2026-10-09 watcher check of Overture's own product page and matched in Overture search results ($16.99 vs $22.99).</t>
        </is>
      </c>
    </row>
    <row r="7" ht="90" customHeight="1">
      <c r="A7" s="14" t="inlineStr">
        <is>
          <t>SUNLU</t>
        </is>
      </c>
      <c r="B7" s="14" t="inlineStr">
        <is>
          <t>SUNLU PLA 1.75mm, 1kg (regular)</t>
        </is>
      </c>
      <c r="C7" s="14" t="inlineStr">
        <is>
          <t>Colour range (from price)</t>
        </is>
      </c>
      <c r="D7" s="15" t="n">
        <v>10.59</v>
      </c>
      <c r="E7" s="15" t="n">
        <v>18.99</v>
      </c>
      <c r="F7" s="16" t="str">
        <f>IF(OR(D7="",E7=""),"",TEXT(E7-D7,"$0.00")&amp;" ("&amp;TEXT(IF(E7=0,0,1-D7/E7),"0%")&amp;")")</f>
        <v>$8.40 (44%)</v>
      </c>
      <c r="G7" s="14" t="inlineStr">
        <is>
          <t>SUNLU official store — Check on SUNLU store</t>
        </is>
      </c>
      <c r="H7" s="18" t="inlineStr">
        <is>
          <t>Open</t>
        </is>
      </c>
      <c r="I7" s="26" t="n">
        <v>0</v>
      </c>
      <c r="J7" s="27" t="n">
        <v>1</v>
      </c>
      <c r="K7" s="26" t="n">
        <f>IF(OR(D7="",J7=""),"",(D7+IF(I7="",0,I7))/J7)</f>
        <v>10.59</v>
      </c>
      <c r="L7" s="26" t="n">
        <v>13</v>
      </c>
      <c r="M7" s="27" t="str">
        <f>IF(OR(K7="",L7=""),"",IF(IFERROR(SEARCH("Out of stock",G7),0)&gt;0,"— (out of stock)",IF(K7&lt;=L7,"★ BUY NOW","—")))</f>
        <v>★ BUY NOW</v>
      </c>
      <c r="N7" s="14" t="inlineStr">
        <is>
          <t>Cheapest regular PLA on this sheet, from SUNLU's own store basic-filament collection. Note some SUNLU store listings are bulk/minimum-order — confirm single-spool at checkout.</t>
        </is>
      </c>
    </row>
    <row r="8" ht="90" customHeight="1">
      <c r="A8" s="14" t="inlineStr">
        <is>
          <t>Elegoo</t>
        </is>
      </c>
      <c r="B8" s="14" t="inlineStr">
        <is>
          <t>ELEGOO PLA 1.75mm, 1kg (regular)</t>
        </is>
      </c>
      <c r="C8" s="14" t="inlineStr">
        <is>
          <t>Black</t>
        </is>
      </c>
      <c r="D8" s="15" t="n">
        <v>13.99</v>
      </c>
      <c r="E8" s="15" t="n"/>
      <c r="F8" s="16" t="str">
        <f>IF(OR(D8="",E8=""),"",TEXT(E8-D8,"$0.00")&amp;" ("&amp;TEXT(IF(E8=0,0,1-D8/E8),"0%")&amp;")")</f>
        <v/>
      </c>
      <c r="G8" s="14" t="inlineStr">
        <is>
          <t>Amazon / Elegoo US store — Check</t>
        </is>
      </c>
      <c r="H8" s="18" t="inlineStr">
        <is>
          <t>Open</t>
        </is>
      </c>
      <c r="I8" s="26" t="n">
        <v>0</v>
      </c>
      <c r="J8" s="27" t="n">
        <v>1</v>
      </c>
      <c r="K8" s="26" t="n">
        <f>IF(OR(D8="",J8=""),"",(D8+IF(I8="",0,I8))/J8)</f>
        <v>13.99</v>
      </c>
      <c r="L8" s="26" t="n">
        <v>14</v>
      </c>
      <c r="M8" s="27" t="str">
        <f>IF(OR(K8="",L8=""),"",IF(IFERROR(SEARCH("Out of stock",G8),0)&gt;0,"— (out of stock)",IF(K8&lt;=L8,"★ BUY NOW","—")))</f>
        <v>★ BUY NOW</v>
      </c>
      <c r="N8" s="14" t="inlineStr">
        <is>
          <t>Amazon one-time price $13.99 (Subscribe &amp; Save $13.29). Elegoo's US store listed the same PLA line at $13.99 in the 2026-10-09 watcher check, with Black shown sold out there at that time.</t>
        </is>
      </c>
    </row>
    <row r="9" ht="100" customHeight="1">
      <c r="A9" s="14" t="inlineStr">
        <is>
          <t>Bambu Lab</t>
        </is>
      </c>
      <c r="B9" s="14" t="inlineStr">
        <is>
          <t>Bambu Lab PLA Basic 1.75mm, 1kg — Refill</t>
        </is>
      </c>
      <c r="C9" s="14" t="inlineStr">
        <is>
          <t>Jade White / core colours</t>
        </is>
      </c>
      <c r="D9" s="15" t="n">
        <v>19.99</v>
      </c>
      <c r="E9" s="15" t="n">
        <v>19.99</v>
      </c>
      <c r="F9" s="16" t="str">
        <f>IF(OR(D9="",E9=""),"",TEXT(E9-D9,"$0.00")&amp;" ("&amp;TEXT(IF(E9=0,0,1-D9/E9),"0%")&amp;")")</f>
        <v>$0.00 (0%)</v>
      </c>
      <c r="G9" s="14" t="inlineStr">
        <is>
          <t>Bambu Lab US Store — Check on Bambu store</t>
        </is>
      </c>
      <c r="H9" s="18" t="inlineStr">
        <is>
          <t>Open</t>
        </is>
      </c>
      <c r="I9" s="26" t="n">
        <v>0</v>
      </c>
      <c r="J9" s="27" t="n">
        <v>1</v>
      </c>
      <c r="K9" s="26" t="n">
        <f>IF(OR(D9="",J9=""),"",(D9+IF(I9="",0,I9))/J9)</f>
        <v>19.99</v>
      </c>
      <c r="L9" s="26" t="n">
        <v>20</v>
      </c>
      <c r="M9" s="27" t="str">
        <f>IF(OR(K9="",L9=""),"",IF(IFERROR(SEARCH("Out of stock",G9),0)&gt;0,"— (out of stock)",IF(K9&lt;=L9,"★ BUY NOW","—")))</f>
        <v>★ BUY NOW</v>
      </c>
      <c r="N9" s="14" t="inlineStr">
        <is>
          <t>Bambu's 'regular' PLA is PLA Basic. MSRP $19.99 refill / $22.99 with spool. Bambu's current bulk sale drops these in multi-roll buys (bulk page showed refill from $15.99 / with-spool $18.99 in reseller bulk listings) — single-spool price shown here.</t>
        </is>
      </c>
    </row>
    <row r="10" ht="30" customHeight="1">
      <c r="A10" s="14" t="inlineStr">
        <is>
          <t>Bambu Lab</t>
        </is>
      </c>
      <c r="B10" s="14" t="inlineStr">
        <is>
          <t>Bambu Lab PLA Basic 1.75mm, 1kg — With spool</t>
        </is>
      </c>
      <c r="C10" s="14" t="inlineStr">
        <is>
          <t>Jade White / core colours</t>
        </is>
      </c>
      <c r="D10" s="15" t="n">
        <v>22.99</v>
      </c>
      <c r="E10" s="15" t="n">
        <v>22.99</v>
      </c>
      <c r="F10" s="16" t="str">
        <f>IF(OR(D10="",E10=""),"",TEXT(E10-D10,"$0.00")&amp;" ("&amp;TEXT(IF(E10=0,0,1-D10/E10),"0%")&amp;")")</f>
        <v>$0.00 (0%)</v>
      </c>
      <c r="G10" s="14" t="inlineStr">
        <is>
          <t>Bambu Lab US Store — Check on Bambu store</t>
        </is>
      </c>
      <c r="H10" s="18" t="inlineStr">
        <is>
          <t>Open</t>
        </is>
      </c>
      <c r="I10" s="26" t="n">
        <v>0</v>
      </c>
      <c r="J10" s="27" t="n">
        <v>1</v>
      </c>
      <c r="K10" s="26" t="n">
        <f>IF(OR(D10="",J10=""),"",(D10+IF(I10="",0,I10))/J10)</f>
        <v>22.99</v>
      </c>
      <c r="L10" s="26" t="n">
        <v>20</v>
      </c>
      <c r="M10" s="27" t="str">
        <f>IF(OR(K10="",L10=""),"",IF(IFERROR(SEARCH("Out of stock",G10),0)&gt;0,"— (out of stock)",IF(K10&lt;=L10,"★ BUY NOW","—")))</f>
        <v>—</v>
      </c>
      <c r="N10" s="14" t="inlineStr">
        <is>
          <t>Use the refill row above if you already have a Bambu reusable spool.</t>
        </is>
      </c>
    </row>
    <row r="11" ht="60" customHeight="1">
      <c r="A11" s="14" t="inlineStr">
        <is>
          <t>Creality</t>
        </is>
      </c>
      <c r="B11" s="14" t="inlineStr">
        <is>
          <t>Creality Ender PLA 1.75mm, 1kg (regular)</t>
        </is>
      </c>
      <c r="C11" s="14" t="inlineStr">
        <is>
          <t>White</t>
        </is>
      </c>
      <c r="D11" s="15" t="n">
        <v>13.29</v>
      </c>
      <c r="E11" s="15" t="n"/>
      <c r="F11" s="16" t="str">
        <f>IF(OR(D11="",E11=""),"",TEXT(E11-D11,"$0.00")&amp;" ("&amp;TEXT(IF(E11=0,0,1-D11/E11),"0%")&amp;")")</f>
        <v/>
      </c>
      <c r="G11" s="17" t="inlineStr">
        <is>
          <t>B&amp;H (retailer) — In stock</t>
        </is>
      </c>
      <c r="H11" s="18" t="inlineStr">
        <is>
          <t>Open</t>
        </is>
      </c>
      <c r="I11" s="26" t="n">
        <v>0</v>
      </c>
      <c r="J11" s="27" t="n">
        <v>1</v>
      </c>
      <c r="K11" s="26" t="n">
        <f>IF(OR(D11="",J11=""),"",(D11+IF(I11="",0,I11))/J11)</f>
        <v>13.29</v>
      </c>
      <c r="L11" s="26" t="n">
        <v>14</v>
      </c>
      <c r="M11" s="27" t="str">
        <f>IF(OR(K11="",L11=""),"",IF(IFERROR(SEARCH("Out of stock",G11),0)&gt;0,"— (out of stock)",IF(K11&lt;=L11,"★ BUY NOW","—")))</f>
        <v>★ BUY NOW</v>
      </c>
      <c r="N11" s="14" t="inlineStr">
        <is>
          <t>Cheapest verified Creality regular PLA single spool in this check. Red was $17.99 and temporarily out of stock at the same retailer.</t>
        </is>
      </c>
    </row>
    <row r="12" ht="100" customHeight="1">
      <c r="A12" s="14" t="inlineStr">
        <is>
          <t>Creality</t>
        </is>
      </c>
      <c r="B12" s="14" t="inlineStr">
        <is>
          <t>Creality Hyper PLA 1.75mm, 1kg (high-speed regular PLA)</t>
        </is>
      </c>
      <c r="C12" s="14" t="inlineStr">
        <is>
          <t>White / core colours</t>
        </is>
      </c>
      <c r="D12" s="15" t="n">
        <v>19.99</v>
      </c>
      <c r="E12" s="15" t="n">
        <v>32.99</v>
      </c>
      <c r="F12" s="16" t="str">
        <f>IF(OR(D12="",E12=""),"",TEXT(E12-D12,"$0.00")&amp;" ("&amp;TEXT(IF(E12=0,0,1-D12/E12),"0%")&amp;")")</f>
        <v>$13.00 (39%)</v>
      </c>
      <c r="G12" s="19" t="inlineStr">
        <is>
          <t>Creality official store — Out of stock — White (at check)</t>
        </is>
      </c>
      <c r="H12" s="18" t="inlineStr">
        <is>
          <t>Open</t>
        </is>
      </c>
      <c r="I12" s="26" t="n">
        <v>0</v>
      </c>
      <c r="J12" s="27" t="n">
        <v>1</v>
      </c>
      <c r="K12" s="26" t="n">
        <f>IF(OR(D12="",J12=""),"",(D12+IF(I12="",0,I12))/J12)</f>
        <v>19.99</v>
      </c>
      <c r="L12" s="26" t="n">
        <v>14</v>
      </c>
      <c r="M12" s="27" t="str">
        <f>IF(OR(K12="",L12=""),"",IF(IFERROR(SEARCH("Out of stock",G12),0)&gt;0,"— (out of stock)",IF(K12&lt;=L12,"★ BUY NOW","—")))</f>
        <v>— (out of stock)</v>
      </c>
      <c r="N12" s="14" t="inlineStr">
        <is>
          <t>Hyper PLA is Creality's high-speed regular PLA. Single-spool $19.99 on Creality's store; bulk tiers on that page: buy 5 = $16.99 ea, buy 10 = $15.99 ea, buy 20 = $14.99 ea. White showed sold out there at the check.</t>
        </is>
      </c>
    </row>
  </sheetData>
  <autoFilter ref="A4:N4"/>
  <mergeCells count="3">
    <mergeCell ref="A3:N3"/>
    <mergeCell ref="A2:N2"/>
    <mergeCell ref="A1:N1"/>
  </mergeCells>
  <conditionalFormatting sqref="M5:M12">
    <cfRule type="expression" priority="1" dxfId="0" stopIfTrue="0">
      <formula>$M5="★ BUY NOW"</formula>
    </cfRule>
  </conditionalFormatting>
  <hyperlinks>
    <hyperlink xmlns:r="http://schemas.openxmlformats.org/officeDocument/2006/relationships" ref="H5" r:id="rId1"/>
    <hyperlink xmlns:r="http://schemas.openxmlformats.org/officeDocument/2006/relationships" ref="H6" r:id="rId2"/>
    <hyperlink xmlns:r="http://schemas.openxmlformats.org/officeDocument/2006/relationships" ref="H7" r:id="rId3"/>
    <hyperlink xmlns:r="http://schemas.openxmlformats.org/officeDocument/2006/relationships" ref="H8" r:id="rId4"/>
    <hyperlink xmlns:r="http://schemas.openxmlformats.org/officeDocument/2006/relationships" ref="H9" r:id="rId5"/>
    <hyperlink xmlns:r="http://schemas.openxmlformats.org/officeDocument/2006/relationships" ref="H10" r:id="rId6"/>
    <hyperlink xmlns:r="http://schemas.openxmlformats.org/officeDocument/2006/relationships" ref="H11" r:id="rId7"/>
    <hyperlink xmlns:r="http://schemas.openxmlformats.org/officeDocument/2006/relationships" ref="H12" r:id="rId8"/>
  </hyperlinks>
  <pageMargins left="0.75" right="0.75" top="1" bottom="1" header="0.5" footer="0.5"/>
  <pageSetup orientation="landscape" fitToHeight="0" fitToWidth="1"/>
</worksheet>
</file>

<file path=xl/worksheets/sheet6.xml><?xml version="1.0" encoding="utf-8"?>
<worksheet xmlns="http://schemas.openxmlformats.org/spreadsheetml/2006/main">
  <sheetPr>
    <tabColor rgb="005B9BD5"/>
    <outlinePr summaryBelow="1" summaryRight="1"/>
    <pageSetUpPr fitToPage="1"/>
  </sheetPr>
  <dimension ref="A1:N12"/>
  <sheetViews>
    <sheetView zoomScale="85" workbookViewId="0">
      <pane ySplit="4" topLeftCell="A5" activePane="bottomLeft" state="frozen"/>
      <selection pane="bottomLeft" activeCell="A1" sqref="A1"/>
    </sheetView>
  </sheetViews>
  <sheetFormatPr baseColWidth="8" defaultRowHeight="15"/>
  <cols>
    <col width="13" customWidth="1" min="1" max="1"/>
    <col width="24" customWidth="1" min="2" max="2"/>
    <col width="12" customWidth="1" min="3" max="3"/>
    <col width="9" customWidth="1" min="4" max="4"/>
    <col width="9" customWidth="1" min="5" max="5"/>
    <col width="13" customWidth="1" min="6" max="6"/>
    <col width="20" customWidth="1" min="7" max="7"/>
    <col width="6" customWidth="1" min="8" max="8"/>
    <col width="9" customWidth="1" min="9" max="9"/>
    <col width="7" customWidth="1" min="10" max="10"/>
    <col width="11" customWidth="1" min="11" max="11"/>
    <col width="11" customWidth="1" min="12" max="12"/>
    <col width="12" customWidth="1" min="13" max="13"/>
    <col width="28" customWidth="1" min="14" max="14"/>
  </cols>
  <sheetData>
    <row r="1">
      <c r="A1" s="8" t="inlineStr">
        <is>
          <t>Filament Pricing — TPU (flexible) (1.75mm, 1kg)</t>
        </is>
      </c>
    </row>
    <row r="2" ht="62" customHeight="1">
      <c r="A2" s="2" t="inlineStr">
        <is>
          <t>1.75mm, 1kg single spool unless Notes say bundle / refill / minimum order. All rows checked 2026-10-11 (Amazon + brand stores + Micro Center). Compact layout: Savings shows $ and % in one column, the source is the short 'Open' link, and stock is shown together with Where to Buy. NEW columns: Shipping $ (starts at $0 — pickup / Prime / free-shipping default; type the real shipping charge for an order and the rest updates), Spools, Delivered / spool = (Price + Shipping) / Spools, Buy at / under threshold, and a Deal? flag — a green star BUY NOW means the delivered per-spool cost is at or under the threshold (out-of-stock rows never flag). Thresholds and Shipping are editable — see How to Use.</t>
        </is>
      </c>
    </row>
    <row r="3" ht="44" customHeight="1">
      <c r="A3" s="20" t="inlineStr">
        <is>
          <t>TPU = FLEXIBLE filament (95A is the common hardness). P1S NOTE: most TPU is NOT AMS-compatible — feed it directly / externally, not through the AMS, unless the product says 'for AMS'. CHEAPEST: SUNLU TPU from $14.99/roll but that listing is a 3-roll minimum. Cheapest verified single spool here is SUNLU TPU-SILK at $17.99.</t>
        </is>
      </c>
    </row>
    <row r="4" ht="30" customHeight="1">
      <c r="A4" s="9" t="inlineStr">
        <is>
          <t>Brand</t>
        </is>
      </c>
      <c r="B4" s="9" t="inlineStr">
        <is>
          <t>Product</t>
        </is>
      </c>
      <c r="C4" s="9" t="inlineStr">
        <is>
          <t>Colour / Shade</t>
        </is>
      </c>
      <c r="D4" s="9" t="inlineStr">
        <is>
          <t>Price ($)</t>
        </is>
      </c>
      <c r="E4" s="9" t="inlineStr">
        <is>
          <t>List ($)</t>
        </is>
      </c>
      <c r="F4" s="9" t="inlineStr">
        <is>
          <t>Savings</t>
        </is>
      </c>
      <c r="G4" s="9" t="inlineStr">
        <is>
          <t>Where to Buy / Stock</t>
        </is>
      </c>
      <c r="H4" s="9" t="inlineStr">
        <is>
          <t>Link</t>
        </is>
      </c>
      <c r="I4" s="9" t="inlineStr">
        <is>
          <t>Shipping ($)</t>
        </is>
      </c>
      <c r="J4" s="9" t="inlineStr">
        <is>
          <t>Spools</t>
        </is>
      </c>
      <c r="K4" s="9" t="inlineStr">
        <is>
          <t>Delivered / spool ($)</t>
        </is>
      </c>
      <c r="L4" s="9" t="inlineStr">
        <is>
          <t>Buy at / under ($/spool)</t>
        </is>
      </c>
      <c r="M4" s="9" t="inlineStr">
        <is>
          <t>Deal?</t>
        </is>
      </c>
      <c r="N4" s="9" t="inlineStr">
        <is>
          <t>Notes</t>
        </is>
      </c>
    </row>
    <row r="5" ht="45" customHeight="1">
      <c r="A5" s="14" t="inlineStr">
        <is>
          <t>Inland (Micro Center)</t>
        </is>
      </c>
      <c r="B5" s="14" t="inlineStr">
        <is>
          <t>Inland TPU 1.75mm, 1kg</t>
        </is>
      </c>
      <c r="C5" s="14" t="inlineStr">
        <is>
          <t>—</t>
        </is>
      </c>
      <c r="D5" s="15" t="n"/>
      <c r="E5" s="15" t="n"/>
      <c r="F5" s="16" t="str">
        <f>IF(OR(D5="",E5=""),"",TEXT(E5-D5,"$0.00")&amp;" ("&amp;TEXT(IF(E5=0,0,1-D5/E5),"0%")&amp;")")</f>
        <v/>
      </c>
      <c r="G5" s="14" t="inlineStr">
        <is>
          <t>Micro Center — Check in store</t>
        </is>
      </c>
      <c r="H5" s="18" t="inlineStr">
        <is>
          <t>Open</t>
        </is>
      </c>
      <c r="I5" s="26" t="n">
        <v>0</v>
      </c>
      <c r="J5" s="27" t="n">
        <v>1</v>
      </c>
      <c r="K5" s="26" t="str">
        <f>IF(OR(D5="",J5=""),"",(D5+IF(I5="",0,I5))/J5)</f>
        <v/>
      </c>
      <c r="L5" s="26" t="n">
        <v>20</v>
      </c>
      <c r="M5" s="27" t="str">
        <f>IF(OR(K5="",L5=""),"",IF(IFERROR(SEARCH("Out of stock",G5),0)&gt;0,"— (out of stock)",IF(K5&lt;=L5,"★ BUY NOW","—")))</f>
        <v/>
      </c>
      <c r="N5" s="14" t="inlineStr">
        <is>
          <t>Inland TPU is sold at Micro Center, but no price was verified in this check — blank on purpose.</t>
        </is>
      </c>
    </row>
    <row r="6" ht="75" customHeight="1">
      <c r="A6" s="14" t="inlineStr">
        <is>
          <t>Overture</t>
        </is>
      </c>
      <c r="B6" s="14" t="inlineStr">
        <is>
          <t>OVERTURE High Speed TPU 95A 1.75mm, 1kg</t>
        </is>
      </c>
      <c r="C6" s="14" t="inlineStr">
        <is>
          <t>Colour range</t>
        </is>
      </c>
      <c r="D6" s="15" t="n">
        <v>24.99</v>
      </c>
      <c r="E6" s="15" t="n">
        <v>34.99</v>
      </c>
      <c r="F6" s="16" t="str">
        <f>IF(OR(D6="",E6=""),"",TEXT(E6-D6,"$0.00")&amp;" ("&amp;TEXT(IF(E6=0,0,1-D6/E6),"0%")&amp;")")</f>
        <v>$10.00 (29%)</v>
      </c>
      <c r="G6" s="17" t="inlineStr">
        <is>
          <t>Overture official store — In stock</t>
        </is>
      </c>
      <c r="H6" s="18" t="inlineStr">
        <is>
          <t>Open</t>
        </is>
      </c>
      <c r="I6" s="26" t="n">
        <v>0</v>
      </c>
      <c r="J6" s="27" t="n">
        <v>1</v>
      </c>
      <c r="K6" s="26" t="n">
        <f>IF(OR(D6="",J6=""),"",(D6+IF(I6="",0,I6))/J6)</f>
        <v>24.99</v>
      </c>
      <c r="L6" s="26" t="n">
        <v>25</v>
      </c>
      <c r="M6" s="27" t="str">
        <f>IF(OR(K6="",L6=""),"",IF(IFERROR(SEARCH("Out of stock",G6),0)&gt;0,"— (out of stock)",IF(K6&lt;=L6,"★ BUY NOW","—")))</f>
        <v>★ BUY NOW</v>
      </c>
      <c r="N6" s="14" t="inlineStr">
        <is>
          <t>83 in stock on Overture's product page at the check. NOTE from that page: AMS &amp; AMS lite NOT compatible — feed TPU directly on the P1S, not through the AMS.</t>
        </is>
      </c>
    </row>
    <row r="7" ht="75" customHeight="1">
      <c r="A7" s="14" t="inlineStr">
        <is>
          <t>SUNLU</t>
        </is>
      </c>
      <c r="B7" s="14" t="inlineStr">
        <is>
          <t>SUNLU TPU 95A / 90A Flexible 1.75mm, 1kg</t>
        </is>
      </c>
      <c r="C7" s="14" t="inlineStr">
        <is>
          <t>Colour range (from price)</t>
        </is>
      </c>
      <c r="D7" s="15" t="n">
        <v>14.99</v>
      </c>
      <c r="E7" s="15" t="n">
        <v>22.95</v>
      </c>
      <c r="F7" s="16" t="str">
        <f>IF(OR(D7="",E7=""),"",TEXT(E7-D7,"$0.00")&amp;" ("&amp;TEXT(IF(E7=0,0,1-D7/E7),"0%")&amp;")")</f>
        <v>$7.96 (35%)</v>
      </c>
      <c r="G7" s="14" t="inlineStr">
        <is>
          <t>SUNLU official store — Check on SUNLU store</t>
        </is>
      </c>
      <c r="H7" s="18" t="inlineStr">
        <is>
          <t>Open</t>
        </is>
      </c>
      <c r="I7" s="26" t="n">
        <v>0</v>
      </c>
      <c r="J7" s="27" t="n">
        <v>1</v>
      </c>
      <c r="K7" s="26" t="n">
        <f>IF(OR(D7="",J7=""),"",(D7+IF(I7="",0,I7))/J7)</f>
        <v>14.99</v>
      </c>
      <c r="L7" s="26" t="n">
        <v>18</v>
      </c>
      <c r="M7" s="27" t="str">
        <f>IF(OR(K7="",L7=""),"",IF(IFERROR(SEARCH("Out of stock",G7),0)&gt;0,"— (out of stock)",IF(K7&lt;=L7,"★ BUY NOW","—")))</f>
        <v>★ BUY NOW</v>
      </c>
      <c r="N7" s="14" t="inlineStr">
        <is>
          <t>Cheapest TPU here, BUT the US store listing is MOQ 3KG (3-roll minimum) — $14.99 is that listing's per-roll price, not a single-spool price. Read before ordering.</t>
        </is>
      </c>
    </row>
    <row r="8" ht="100" customHeight="1">
      <c r="A8" s="14" t="inlineStr">
        <is>
          <t>SUNLU</t>
        </is>
      </c>
      <c r="B8" s="14" t="inlineStr">
        <is>
          <t>SUNLU TPU-SILK (silk-textured TPU) 1.75mm, 1kg</t>
        </is>
      </c>
      <c r="C8" s="14" t="inlineStr">
        <is>
          <t>Black / Cream White / Burgundy / Dark Blue</t>
        </is>
      </c>
      <c r="D8" s="15" t="n">
        <v>17.99</v>
      </c>
      <c r="E8" s="15" t="n">
        <v>24.99</v>
      </c>
      <c r="F8" s="16" t="str">
        <f>IF(OR(D8="",E8=""),"",TEXT(E8-D8,"$0.00")&amp;" ("&amp;TEXT(IF(E8=0,0,1-D8/E8),"0%")&amp;")")</f>
        <v>$7.00 (28%)</v>
      </c>
      <c r="G8" s="14" t="inlineStr">
        <is>
          <t>SUNLU official store — Check on SUNLU store</t>
        </is>
      </c>
      <c r="H8" s="18" t="inlineStr">
        <is>
          <t>Open</t>
        </is>
      </c>
      <c r="I8" s="26" t="n">
        <v>0</v>
      </c>
      <c r="J8" s="27" t="n">
        <v>1</v>
      </c>
      <c r="K8" s="26" t="n">
        <f>IF(OR(D8="",J8=""),"",(D8+IF(I8="",0,I8))/J8)</f>
        <v>17.99</v>
      </c>
      <c r="L8" s="26" t="n">
        <v>18</v>
      </c>
      <c r="M8" s="27" t="str">
        <f>IF(OR(K8="",L8=""),"",IF(IFERROR(SEARCH("Out of stock",G8),0)&gt;0,"— (out of stock)",IF(K8&lt;=L8,"★ BUY NOW","—")))</f>
        <v>★ BUY NOW</v>
      </c>
      <c r="N8" s="14" t="inlineStr">
        <is>
          <t>Flexible TPU with a silk texture — different from both plain TPU and Silk PLA. Store summary price $17.99 vs $24.99; a SUNLU search listing also showed a sold-out variant at a higher price, so confirm stock at checkout.</t>
        </is>
      </c>
    </row>
    <row r="9" ht="60" customHeight="1">
      <c r="A9" s="14" t="inlineStr">
        <is>
          <t>Elegoo</t>
        </is>
      </c>
      <c r="B9" s="14" t="inlineStr">
        <is>
          <t>ELEGOO TPU 1.75mm, 1kg</t>
        </is>
      </c>
      <c r="C9" s="14" t="inlineStr">
        <is>
          <t>—</t>
        </is>
      </c>
      <c r="D9" s="15" t="n"/>
      <c r="E9" s="15" t="n"/>
      <c r="F9" s="16" t="str">
        <f>IF(OR(D9="",E9=""),"",TEXT(E9-D9,"$0.00")&amp;" ("&amp;TEXT(IF(E9=0,0,1-D9/E9),"0%")&amp;")")</f>
        <v/>
      </c>
      <c r="G9" s="14" t="inlineStr">
        <is>
          <t>Amazon — Check on Amazon</t>
        </is>
      </c>
      <c r="H9" s="14" t="n"/>
      <c r="I9" s="26" t="n">
        <v>0</v>
      </c>
      <c r="J9" s="27" t="n">
        <v>1</v>
      </c>
      <c r="K9" s="26" t="str">
        <f>IF(OR(D9="",J9=""),"",(D9+IF(I9="",0,I9))/J9)</f>
        <v/>
      </c>
      <c r="L9" s="26" t="n">
        <v>20</v>
      </c>
      <c r="M9" s="27" t="str">
        <f>IF(OR(K9="",L9=""),"",IF(IFERROR(SEARCH("Out of stock",G9),0)&gt;0,"— (out of stock)",IF(K9&lt;=L9,"★ BUY NOW","—")))</f>
        <v/>
      </c>
      <c r="N9" s="14" t="inlineStr">
        <is>
          <t>Elegoo TPU appears in its Amazon/eBay filament lots, but no verified single-spool US price was found in this check — blank on purpose.</t>
        </is>
      </c>
    </row>
    <row r="10" ht="100" customHeight="1">
      <c r="A10" s="14" t="inlineStr">
        <is>
          <t>Bambu Lab</t>
        </is>
      </c>
      <c r="B10" s="14" t="inlineStr">
        <is>
          <t>Bambu Lab TPU 95A HF 1.75mm, 1kg</t>
        </is>
      </c>
      <c r="C10" s="14" t="inlineStr">
        <is>
          <t>Colour range</t>
        </is>
      </c>
      <c r="D10" s="15" t="n">
        <v>41.99</v>
      </c>
      <c r="E10" s="15" t="n"/>
      <c r="F10" s="16" t="str">
        <f>IF(OR(D10="",E10=""),"",TEXT(E10-D10,"$0.00")&amp;" ("&amp;TEXT(IF(E10=0,0,1-D10/E10),"0%")&amp;")")</f>
        <v/>
      </c>
      <c r="G10" s="14" t="inlineStr">
        <is>
          <t>Bambu Lab US Store — Check on Bambu store</t>
        </is>
      </c>
      <c r="H10" s="18" t="inlineStr">
        <is>
          <t>Open</t>
        </is>
      </c>
      <c r="I10" s="26" t="n">
        <v>0</v>
      </c>
      <c r="J10" s="27" t="n">
        <v>1</v>
      </c>
      <c r="K10" s="26" t="n">
        <f>IF(OR(D10="",J10=""),"",(D10+IF(I10="",0,I10))/J10)</f>
        <v>41.99</v>
      </c>
      <c r="L10" s="26" t="n">
        <v>35</v>
      </c>
      <c r="M10" s="27" t="str">
        <f>IF(OR(K10="",L10=""),"",IF(IFERROR(SEARCH("Out of stock",G10),0)&gt;0,"— (out of stock)",IF(K10&lt;=L10,"★ BUY NOW","—")))</f>
        <v>—</v>
      </c>
      <c r="N10" s="14" t="inlineStr">
        <is>
          <t>Priciest TPU here by a wide margin — Bambu's high-flow 95A. Bambu also sells 'TPU for AMS' (a stiffer TPU that can run in the AMS); reseller bulk listings showed it at $34.99 — confirm on Bambu's store before buying either.</t>
        </is>
      </c>
    </row>
    <row r="11" ht="100" customHeight="1">
      <c r="A11" s="14" t="inlineStr">
        <is>
          <t>Bambu Lab</t>
        </is>
      </c>
      <c r="B11" s="14" t="inlineStr">
        <is>
          <t>Bambu Lab TPU 85A / 90A 1.75mm, 1kg</t>
        </is>
      </c>
      <c r="C11" s="14" t="inlineStr">
        <is>
          <t>Colour range</t>
        </is>
      </c>
      <c r="D11" s="15" t="n"/>
      <c r="E11" s="15" t="n">
        <v>41.99</v>
      </c>
      <c r="F11" s="16" t="str">
        <f>IF(OR(D11="",E11=""),"",TEXT(E11-D11,"$0.00")&amp;" ("&amp;TEXT(IF(E11=0,0,1-D11/E11),"0%")&amp;")")</f>
        <v/>
      </c>
      <c r="G11" s="14" t="inlineStr">
        <is>
          <t>Bambu Lab US Store — Check on Bambu store</t>
        </is>
      </c>
      <c r="H11" s="18" t="inlineStr">
        <is>
          <t>Open</t>
        </is>
      </c>
      <c r="I11" s="26" t="n">
        <v>0</v>
      </c>
      <c r="J11" s="27" t="n">
        <v>1</v>
      </c>
      <c r="K11" s="26" t="str">
        <f>IF(OR(D11="",J11=""),"",(D11+IF(I11="",0,I11))/J11)</f>
        <v/>
      </c>
      <c r="L11" s="26" t="n">
        <v>35</v>
      </c>
      <c r="M11" s="27" t="str">
        <f>IF(OR(K11="",L11=""),"",IF(IFERROR(SEARCH("Out of stock",G11),0)&gt;0,"— (out of stock)",IF(K11&lt;=L11,"★ BUY NOW","—")))</f>
        <v/>
      </c>
      <c r="N11" s="14" t="inlineStr">
        <is>
          <t>Softer TPUs. Bambu's all-filaments page showed these as a flash sale 'from $25.19' with typical price $41.99, and one variant sold out — too fluid to pin as a single price, so Current Price is blank and the range is in this note.</t>
        </is>
      </c>
    </row>
    <row r="12" ht="75" customHeight="1">
      <c r="A12" s="14" t="inlineStr">
        <is>
          <t>Creality</t>
        </is>
      </c>
      <c r="B12" s="14" t="inlineStr">
        <is>
          <t>Creality TPU 95A 1.75mm, 1kg</t>
        </is>
      </c>
      <c r="C12" s="14" t="inlineStr">
        <is>
          <t>Black</t>
        </is>
      </c>
      <c r="D12" s="15" t="n"/>
      <c r="E12" s="15" t="n"/>
      <c r="F12" s="16" t="str">
        <f>IF(OR(D12="",E12=""),"",TEXT(E12-D12,"$0.00")&amp;" ("&amp;TEXT(IF(E12=0,0,1-D12/E12),"0%")&amp;")")</f>
        <v/>
      </c>
      <c r="G12" s="14" t="inlineStr">
        <is>
          <t>Creality / retailers — Check retailer</t>
        </is>
      </c>
      <c r="H12" s="14" t="n"/>
      <c r="I12" s="26" t="n">
        <v>0</v>
      </c>
      <c r="J12" s="27" t="n">
        <v>1</v>
      </c>
      <c r="K12" s="26" t="str">
        <f>IF(OR(D12="",J12=""),"",(D12+IF(I12="",0,I12))/J12)</f>
        <v/>
      </c>
      <c r="L12" s="26" t="n">
        <v>20</v>
      </c>
      <c r="M12" s="27" t="str">
        <f>IF(OR(K12="",L12=""),"",IF(IFERROR(SEARCH("Out of stock",G12),0)&gt;0,"— (out of stock)",IF(K12&lt;=L12,"★ BUY NOW","—")))</f>
        <v/>
      </c>
      <c r="N12" s="14" t="inlineStr">
        <is>
          <t>Creality TPU 95A exists (marketplace listings found, ~$41 on import listings), but no verified Creality US store price in this check — blank on purpose.</t>
        </is>
      </c>
    </row>
  </sheetData>
  <autoFilter ref="A4:N4"/>
  <mergeCells count="3">
    <mergeCell ref="A3:N3"/>
    <mergeCell ref="A2:N2"/>
    <mergeCell ref="A1:N1"/>
  </mergeCells>
  <conditionalFormatting sqref="M5:M12">
    <cfRule type="expression" priority="1" dxfId="0" stopIfTrue="0">
      <formula>$M5="★ BUY NOW"</formula>
    </cfRule>
  </conditionalFormatting>
  <hyperlinks>
    <hyperlink xmlns:r="http://schemas.openxmlformats.org/officeDocument/2006/relationships" ref="H5" r:id="rId1"/>
    <hyperlink xmlns:r="http://schemas.openxmlformats.org/officeDocument/2006/relationships" ref="H6" r:id="rId2"/>
    <hyperlink xmlns:r="http://schemas.openxmlformats.org/officeDocument/2006/relationships" ref="H7" r:id="rId3"/>
    <hyperlink xmlns:r="http://schemas.openxmlformats.org/officeDocument/2006/relationships" ref="H8" r:id="rId4"/>
    <hyperlink xmlns:r="http://schemas.openxmlformats.org/officeDocument/2006/relationships" ref="H10" r:id="rId5"/>
    <hyperlink xmlns:r="http://schemas.openxmlformats.org/officeDocument/2006/relationships" ref="H11" r:id="rId6"/>
  </hyperlinks>
  <pageMargins left="0.75" right="0.75" top="1" bottom="1" header="0.5" footer="0.5"/>
  <pageSetup orientation="landscape" fitToHeight="0" fitToWidth="1"/>
</worksheet>
</file>

<file path=xl/worksheets/sheet7.xml><?xml version="1.0" encoding="utf-8"?>
<worksheet xmlns="http://schemas.openxmlformats.org/spreadsheetml/2006/main">
  <sheetPr>
    <tabColor rgb="005B9BD5"/>
    <outlinePr summaryBelow="1" summaryRight="1"/>
    <pageSetUpPr fitToPage="1"/>
  </sheetPr>
  <dimension ref="A1:N11"/>
  <sheetViews>
    <sheetView zoomScale="85" workbookViewId="0">
      <pane ySplit="4" topLeftCell="A5" activePane="bottomLeft" state="frozen"/>
      <selection pane="bottomLeft" activeCell="A1" sqref="A1"/>
    </sheetView>
  </sheetViews>
  <sheetFormatPr baseColWidth="8" defaultRowHeight="15"/>
  <cols>
    <col width="13" customWidth="1" min="1" max="1"/>
    <col width="24" customWidth="1" min="2" max="2"/>
    <col width="12" customWidth="1" min="3" max="3"/>
    <col width="9" customWidth="1" min="4" max="4"/>
    <col width="9" customWidth="1" min="5" max="5"/>
    <col width="13" customWidth="1" min="6" max="6"/>
    <col width="20" customWidth="1" min="7" max="7"/>
    <col width="6" customWidth="1" min="8" max="8"/>
    <col width="9" customWidth="1" min="9" max="9"/>
    <col width="7" customWidth="1" min="10" max="10"/>
    <col width="11" customWidth="1" min="11" max="11"/>
    <col width="11" customWidth="1" min="12" max="12"/>
    <col width="12" customWidth="1" min="13" max="13"/>
    <col width="28" customWidth="1" min="14" max="14"/>
  </cols>
  <sheetData>
    <row r="1">
      <c r="A1" s="8" t="inlineStr">
        <is>
          <t>Filament Pricing — PETG (1.75mm, 1kg)</t>
        </is>
      </c>
    </row>
    <row r="2" ht="62" customHeight="1">
      <c r="A2" s="2" t="inlineStr">
        <is>
          <t>1.75mm, 1kg single spool unless Notes say bundle / refill / minimum order. All rows checked 2026-10-11 (Amazon + brand stores + Micro Center). Compact layout: Savings shows $ and % in one column, the source is the short 'Open' link, and stock is shown together with Where to Buy. NEW columns: Shipping $ (starts at $0 — pickup / Prime / free-shipping default; type the real shipping charge for an order and the rest updates), Spools, Delivered / spool = (Price + Shipping) / Spools, Buy at / under threshold, and a Deal? flag — a green star BUY NOW means the delivered per-spool cost is at or under the threshold (out-of-stock rows never flag). Thresholds and Shipping are editable — see How to Use.</t>
        </is>
      </c>
    </row>
    <row r="3" ht="44" customHeight="1">
      <c r="A3" s="20" t="inlineStr">
        <is>
          <t>PETG = tougher, more heat/ weather-resistant than PLA, for functional and outdoor parts. CHEAPEST: SUNLU PETG from $10.49 on SUNLU's store (watch minimum-order terms), then Inland and Overture tied at $14.99 as verified single spools.</t>
        </is>
      </c>
    </row>
    <row r="4" ht="30" customHeight="1">
      <c r="A4" s="9" t="inlineStr">
        <is>
          <t>Brand</t>
        </is>
      </c>
      <c r="B4" s="9" t="inlineStr">
        <is>
          <t>Product</t>
        </is>
      </c>
      <c r="C4" s="9" t="inlineStr">
        <is>
          <t>Colour / Shade</t>
        </is>
      </c>
      <c r="D4" s="9" t="inlineStr">
        <is>
          <t>Price ($)</t>
        </is>
      </c>
      <c r="E4" s="9" t="inlineStr">
        <is>
          <t>List ($)</t>
        </is>
      </c>
      <c r="F4" s="9" t="inlineStr">
        <is>
          <t>Savings</t>
        </is>
      </c>
      <c r="G4" s="9" t="inlineStr">
        <is>
          <t>Where to Buy / Stock</t>
        </is>
      </c>
      <c r="H4" s="9" t="inlineStr">
        <is>
          <t>Link</t>
        </is>
      </c>
      <c r="I4" s="9" t="inlineStr">
        <is>
          <t>Shipping ($)</t>
        </is>
      </c>
      <c r="J4" s="9" t="inlineStr">
        <is>
          <t>Spools</t>
        </is>
      </c>
      <c r="K4" s="9" t="inlineStr">
        <is>
          <t>Delivered / spool ($)</t>
        </is>
      </c>
      <c r="L4" s="9" t="inlineStr">
        <is>
          <t>Buy at / under ($/spool)</t>
        </is>
      </c>
      <c r="M4" s="9" t="inlineStr">
        <is>
          <t>Deal?</t>
        </is>
      </c>
      <c r="N4" s="9" t="inlineStr">
        <is>
          <t>Notes</t>
        </is>
      </c>
    </row>
    <row r="5" ht="60" customHeight="1">
      <c r="A5" s="14" t="inlineStr">
        <is>
          <t>Inland (Micro Center)</t>
        </is>
      </c>
      <c r="B5" s="14" t="inlineStr">
        <is>
          <t>Inland PETG 1.75mm, 1kg Cardboard Spool</t>
        </is>
      </c>
      <c r="C5" s="14" t="inlineStr">
        <is>
          <t>Green</t>
        </is>
      </c>
      <c r="D5" s="15" t="n">
        <v>14.99</v>
      </c>
      <c r="E5" s="15" t="n"/>
      <c r="F5" s="16" t="str">
        <f>IF(OR(D5="",E5=""),"",TEXT(E5-D5,"$0.00")&amp;" ("&amp;TEXT(IF(E5=0,0,1-D5/E5),"0%")&amp;")")</f>
        <v/>
      </c>
      <c r="G5" s="17" t="inlineStr">
        <is>
          <t>Micro Center — In stock</t>
        </is>
      </c>
      <c r="H5" s="18" t="inlineStr">
        <is>
          <t>Open</t>
        </is>
      </c>
      <c r="I5" s="26" t="n">
        <v>0</v>
      </c>
      <c r="J5" s="27" t="n">
        <v>1</v>
      </c>
      <c r="K5" s="26" t="n">
        <f>IF(OR(D5="",J5=""),"",(D5+IF(I5="",0,I5))/J5)</f>
        <v>14.99</v>
      </c>
      <c r="L5" s="26" t="n">
        <v>15</v>
      </c>
      <c r="M5" s="27" t="str">
        <f>IF(OR(K5="",L5=""),"",IF(IFERROR(SEARCH("Out of stock",G5),0)&gt;0,"— (out of stock)",IF(K5&lt;=L5,"★ BUY NOW","—")))</f>
        <v>★ BUY NOW</v>
      </c>
      <c r="N5" s="14" t="inlineStr">
        <is>
          <t>Verified Micro Center product-page price. Other PETG colours sit in the same Inland line — confirm shade price in store.</t>
        </is>
      </c>
    </row>
    <row r="6" ht="75" customHeight="1">
      <c r="A6" s="14" t="inlineStr">
        <is>
          <t>Overture</t>
        </is>
      </c>
      <c r="B6" s="14" t="inlineStr">
        <is>
          <t>OVERTURE PETG 1.75mm, 1kg</t>
        </is>
      </c>
      <c r="C6" s="14" t="inlineStr">
        <is>
          <t>Colour range</t>
        </is>
      </c>
      <c r="D6" s="15" t="n">
        <v>14.99</v>
      </c>
      <c r="E6" s="15" t="n">
        <v>22.99</v>
      </c>
      <c r="F6" s="16" t="str">
        <f>IF(OR(D6="",E6=""),"",TEXT(E6-D6,"$0.00")&amp;" ("&amp;TEXT(IF(E6=0,0,1-D6/E6),"0%")&amp;")")</f>
        <v>$8.00 (35%)</v>
      </c>
      <c r="G6" s="17" t="inlineStr">
        <is>
          <t>Overture official store — In stock</t>
        </is>
      </c>
      <c r="H6" s="18" t="inlineStr">
        <is>
          <t>Open</t>
        </is>
      </c>
      <c r="I6" s="26" t="n">
        <v>0</v>
      </c>
      <c r="J6" s="27" t="n">
        <v>1</v>
      </c>
      <c r="K6" s="26" t="n">
        <f>IF(OR(D6="",J6=""),"",(D6+IF(I6="",0,I6))/J6)</f>
        <v>14.99</v>
      </c>
      <c r="L6" s="26" t="n">
        <v>15</v>
      </c>
      <c r="M6" s="27" t="str">
        <f>IF(OR(K6="",L6=""),"",IF(IFERROR(SEARCH("Out of stock",G6),0)&gt;0,"— (out of stock)",IF(K6&lt;=L6,"★ BUY NOW","—")))</f>
        <v>★ BUY NOW</v>
      </c>
      <c r="N6" s="14" t="inlineStr">
        <is>
          <t>561 in stock on Overture's product page in the search-index check. Overture also now sells a PETG Refill version in 15 colours — check which version is in the cart.</t>
        </is>
      </c>
    </row>
    <row r="7" ht="90" customHeight="1">
      <c r="A7" s="14" t="inlineStr">
        <is>
          <t>SUNLU</t>
        </is>
      </c>
      <c r="B7" s="14" t="inlineStr">
        <is>
          <t>SUNLU PETG 1.75mm, 1kg</t>
        </is>
      </c>
      <c r="C7" s="14" t="inlineStr">
        <is>
          <t>Colour range (from price)</t>
        </is>
      </c>
      <c r="D7" s="15" t="n">
        <v>10.49</v>
      </c>
      <c r="E7" s="15" t="n">
        <v>18.99</v>
      </c>
      <c r="F7" s="16" t="str">
        <f>IF(OR(D7="",E7=""),"",TEXT(E7-D7,"$0.00")&amp;" ("&amp;TEXT(IF(E7=0,0,1-D7/E7),"0%")&amp;")")</f>
        <v>$8.50 (45%)</v>
      </c>
      <c r="G7" s="14" t="inlineStr">
        <is>
          <t>SUNLU official store — Check on SUNLU store</t>
        </is>
      </c>
      <c r="H7" s="18" t="inlineStr">
        <is>
          <t>Open</t>
        </is>
      </c>
      <c r="I7" s="26" t="n">
        <v>0</v>
      </c>
      <c r="J7" s="27" t="n">
        <v>1</v>
      </c>
      <c r="K7" s="26" t="n">
        <f>IF(OR(D7="",J7=""),"",(D7+IF(I7="",0,I7))/J7)</f>
        <v>10.49</v>
      </c>
      <c r="L7" s="26" t="n">
        <v>13</v>
      </c>
      <c r="M7" s="27" t="str">
        <f>IF(OR(K7="",L7=""),"",IF(IFERROR(SEARCH("Out of stock",G7),0)&gt;0,"— (out of stock)",IF(K7&lt;=L7,"★ BUY NOW","—")))</f>
        <v>★ BUY NOW</v>
      </c>
      <c r="N7" s="14" t="inlineStr">
        <is>
          <t>Cheapest PETG here, from SUNLU's own basic-filament collection. Caution: the same collection page also carries a 6kg-minimum PETG listing at this price — confirm single-spool terms at checkout.</t>
        </is>
      </c>
    </row>
    <row r="8" ht="90" customHeight="1">
      <c r="A8" s="14" t="inlineStr">
        <is>
          <t>Elegoo</t>
        </is>
      </c>
      <c r="B8" s="14" t="inlineStr">
        <is>
          <t>ELEGOO PETG / Rapid PETG 1.75mm, 1kg</t>
        </is>
      </c>
      <c r="C8" s="14" t="inlineStr">
        <is>
          <t>Colour range</t>
        </is>
      </c>
      <c r="D8" s="15" t="n"/>
      <c r="E8" s="15" t="n"/>
      <c r="F8" s="16" t="str">
        <f>IF(OR(D8="",E8=""),"",TEXT(E8-D8,"$0.00")&amp;" ("&amp;TEXT(IF(E8=0,0,1-D8/E8),"0%")&amp;")")</f>
        <v/>
      </c>
      <c r="G8" s="14" t="inlineStr">
        <is>
          <t>Amazon / Elegoo US store — Check</t>
        </is>
      </c>
      <c r="H8" s="14" t="n"/>
      <c r="I8" s="26" t="n">
        <v>0</v>
      </c>
      <c r="J8" s="27" t="n">
        <v>1</v>
      </c>
      <c r="K8" s="26" t="str">
        <f>IF(OR(D8="",J8=""),"",(D8+IF(I8="",0,I8))/J8)</f>
        <v/>
      </c>
      <c r="L8" s="26" t="n">
        <v>14</v>
      </c>
      <c r="M8" s="27" t="str">
        <f>IF(OR(K8="",L8=""),"",IF(IFERROR(SEARCH("Out of stock",G8),0)&gt;0,"— (out of stock)",IF(K8&lt;=L8,"★ BUY NOW","—")))</f>
        <v/>
      </c>
      <c r="N8" s="14" t="inlineStr">
        <is>
          <t>Elegoo PETG, PETG Pro and Rapid PETG all exist (marketplace lots around $13.99-$14.99/roll in bundles), but no verified single-spool US price was found in this check — blank on purpose.</t>
        </is>
      </c>
    </row>
    <row r="9" ht="100" customHeight="1">
      <c r="A9" s="14" t="inlineStr">
        <is>
          <t>Bambu Lab</t>
        </is>
      </c>
      <c r="B9" s="14" t="inlineStr">
        <is>
          <t>Bambu Lab PETG HF 1.75mm, 1kg — Refill</t>
        </is>
      </c>
      <c r="C9" s="14" t="inlineStr">
        <is>
          <t>Colour range</t>
        </is>
      </c>
      <c r="D9" s="15" t="n">
        <v>19.99</v>
      </c>
      <c r="E9" s="15" t="n">
        <v>19.99</v>
      </c>
      <c r="F9" s="16" t="str">
        <f>IF(OR(D9="",E9=""),"",TEXT(E9-D9,"$0.00")&amp;" ("&amp;TEXT(IF(E9=0,0,1-D9/E9),"0%")&amp;")")</f>
        <v>$0.00 (0%)</v>
      </c>
      <c r="G9" s="14" t="inlineStr">
        <is>
          <t>Bambu Lab US Store — Check on Bambu store</t>
        </is>
      </c>
      <c r="H9" s="18" t="inlineStr">
        <is>
          <t>Open</t>
        </is>
      </c>
      <c r="I9" s="26" t="n">
        <v>0</v>
      </c>
      <c r="J9" s="27" t="n">
        <v>1</v>
      </c>
      <c r="K9" s="26" t="n">
        <f>IF(OR(D9="",J9=""),"",(D9+IF(I9="",0,I9))/J9)</f>
        <v>19.99</v>
      </c>
      <c r="L9" s="26" t="n">
        <v>20</v>
      </c>
      <c r="M9" s="27" t="str">
        <f>IF(OR(K9="",L9=""),"",IF(IFERROR(SEARCH("Out of stock",G9),0)&gt;0,"— (out of stock)",IF(K9&lt;=L9,"★ BUY NOW","—")))</f>
        <v>★ BUY NOW</v>
      </c>
      <c r="N9" s="14" t="inlineStr">
        <is>
          <t>Bambu's main PETG is PETG HF (high-flow). Original prices from Bambu's US bulk table: $19.99 refill / $22.99 with spool; multi-roll bulk buys drop both. PETG Basic and PETG Translucent sit in the same $19.99-refill family in reseller listings.</t>
        </is>
      </c>
    </row>
    <row r="10" ht="90" customHeight="1">
      <c r="A10" s="14" t="inlineStr">
        <is>
          <t>Bambu Lab</t>
        </is>
      </c>
      <c r="B10" s="14" t="inlineStr">
        <is>
          <t>Bambu Lab PETG HF 1.75mm, 1kg — With spool</t>
        </is>
      </c>
      <c r="C10" s="14" t="inlineStr">
        <is>
          <t>Colour range</t>
        </is>
      </c>
      <c r="D10" s="15" t="n">
        <v>22.99</v>
      </c>
      <c r="E10" s="15" t="n">
        <v>22.99</v>
      </c>
      <c r="F10" s="16" t="str">
        <f>IF(OR(D10="",E10=""),"",TEXT(E10-D10,"$0.00")&amp;" ("&amp;TEXT(IF(E10=0,0,1-D10/E10),"0%")&amp;")")</f>
        <v>$0.00 (0%)</v>
      </c>
      <c r="G10" s="14" t="inlineStr">
        <is>
          <t>Bambu Lab US Store — Check on Bambu store</t>
        </is>
      </c>
      <c r="H10" s="18" t="inlineStr">
        <is>
          <t>Open</t>
        </is>
      </c>
      <c r="I10" s="26" t="n">
        <v>0</v>
      </c>
      <c r="J10" s="27" t="n">
        <v>1</v>
      </c>
      <c r="K10" s="26" t="n">
        <f>IF(OR(D10="",J10=""),"",(D10+IF(I10="",0,I10))/J10)</f>
        <v>22.99</v>
      </c>
      <c r="L10" s="26" t="n">
        <v>20</v>
      </c>
      <c r="M10" s="27" t="str">
        <f>IF(OR(K10="",L10=""),"",IF(IFERROR(SEARCH("Out of stock",G10),0)&gt;0,"— (out of stock)",IF(K10&lt;=L10,"★ BUY NOW","—")))</f>
        <v>—</v>
      </c>
      <c r="N10" s="14" t="inlineStr">
        <is>
          <t>Use the refill row above if you already have a Bambu reusable spool. Bambu also lists a newer PETG Matte on its all-filaments page (bulk-sale price shown there, single price not pinned in this check).</t>
        </is>
      </c>
    </row>
    <row r="11" ht="100" customHeight="1">
      <c r="A11" s="14" t="inlineStr">
        <is>
          <t>Creality</t>
        </is>
      </c>
      <c r="B11" s="14" t="inlineStr">
        <is>
          <t>Creality CR-PETG / Hyper PETG 1.75mm, 1kg</t>
        </is>
      </c>
      <c r="C11" s="14" t="inlineStr">
        <is>
          <t>White / core colours</t>
        </is>
      </c>
      <c r="D11" s="15" t="n"/>
      <c r="E11" s="15" t="n"/>
      <c r="F11" s="16" t="str">
        <f>IF(OR(D11="",E11=""),"",TEXT(E11-D11,"$0.00")&amp;" ("&amp;TEXT(IF(E11=0,0,1-D11/E11),"0%")&amp;")")</f>
        <v/>
      </c>
      <c r="G11" s="14" t="inlineStr">
        <is>
          <t>Creality / retailers — Check retailer</t>
        </is>
      </c>
      <c r="H11" s="14" t="n"/>
      <c r="I11" s="26" t="n">
        <v>0</v>
      </c>
      <c r="J11" s="27" t="n">
        <v>1</v>
      </c>
      <c r="K11" s="26" t="str">
        <f>IF(OR(D11="",J11=""),"",(D11+IF(I11="",0,I11))/J11)</f>
        <v/>
      </c>
      <c r="L11" s="26" t="n">
        <v>14</v>
      </c>
      <c r="M11" s="27" t="str">
        <f>IF(OR(K11="",L11=""),"",IF(IFERROR(SEARCH("Out of stock",G11),0)&gt;0,"— (out of stock)",IF(K11&lt;=L11,"★ BUY NOW","—")))</f>
        <v/>
      </c>
      <c r="N11" s="14" t="inlineStr">
        <is>
          <t>CR-PETG and Hyper PETG both exist (a marketplace listing showed CR-PETG White at $10.99, unverified as an official price), but no verified Creality US store single-spool price in this check — blank on purpose.</t>
        </is>
      </c>
    </row>
  </sheetData>
  <autoFilter ref="A4:N4"/>
  <mergeCells count="3">
    <mergeCell ref="A3:N3"/>
    <mergeCell ref="A2:N2"/>
    <mergeCell ref="A1:N1"/>
  </mergeCells>
  <conditionalFormatting sqref="M5:M11">
    <cfRule type="expression" priority="1" dxfId="0" stopIfTrue="0">
      <formula>$M5="★ BUY NOW"</formula>
    </cfRule>
  </conditionalFormatting>
  <hyperlinks>
    <hyperlink xmlns:r="http://schemas.openxmlformats.org/officeDocument/2006/relationships" ref="H5" r:id="rId1"/>
    <hyperlink xmlns:r="http://schemas.openxmlformats.org/officeDocument/2006/relationships" ref="H6" r:id="rId2"/>
    <hyperlink xmlns:r="http://schemas.openxmlformats.org/officeDocument/2006/relationships" ref="H7" r:id="rId3"/>
    <hyperlink xmlns:r="http://schemas.openxmlformats.org/officeDocument/2006/relationships" ref="H9" r:id="rId4"/>
    <hyperlink xmlns:r="http://schemas.openxmlformats.org/officeDocument/2006/relationships" ref="H10" r:id="rId5"/>
  </hyperlinks>
  <pageMargins left="0.75" right="0.75" top="1" bottom="1" header="0.5" footer="0.5"/>
  <pageSetup orientation="landscape" fitToHeight="0" fitToWidth="1"/>
</worksheet>
</file>

<file path=xl/worksheets/sheet8.xml><?xml version="1.0" encoding="utf-8"?>
<worksheet xmlns="http://schemas.openxmlformats.org/spreadsheetml/2006/main">
  <sheetPr>
    <tabColor rgb="005B9BD5"/>
    <outlinePr summaryBelow="1" summaryRight="1"/>
    <pageSetUpPr fitToPage="1"/>
  </sheetPr>
  <dimension ref="A1:N11"/>
  <sheetViews>
    <sheetView zoomScale="85" workbookViewId="0">
      <pane ySplit="4" topLeftCell="A5" activePane="bottomLeft" state="frozen"/>
      <selection pane="bottomLeft" activeCell="A1" sqref="A1"/>
    </sheetView>
  </sheetViews>
  <sheetFormatPr baseColWidth="8" defaultRowHeight="15"/>
  <cols>
    <col width="13" customWidth="1" min="1" max="1"/>
    <col width="24" customWidth="1" min="2" max="2"/>
    <col width="12" customWidth="1" min="3" max="3"/>
    <col width="9" customWidth="1" min="4" max="4"/>
    <col width="9" customWidth="1" min="5" max="5"/>
    <col width="13" customWidth="1" min="6" max="6"/>
    <col width="20" customWidth="1" min="7" max="7"/>
    <col width="6" customWidth="1" min="8" max="8"/>
    <col width="9" customWidth="1" min="9" max="9"/>
    <col width="7" customWidth="1" min="10" max="10"/>
    <col width="11" customWidth="1" min="11" max="11"/>
    <col width="11" customWidth="1" min="12" max="12"/>
    <col width="12" customWidth="1" min="13" max="13"/>
    <col width="28" customWidth="1" min="14" max="14"/>
  </cols>
  <sheetData>
    <row r="1">
      <c r="A1" s="8" t="inlineStr">
        <is>
          <t>Filament Pricing — ABS &amp; ASA (1.75mm, 1kg)</t>
        </is>
      </c>
    </row>
    <row r="2" ht="62" customHeight="1">
      <c r="A2" s="2" t="inlineStr">
        <is>
          <t>1.75mm, 1kg single spool unless Notes say bundle / refill / minimum order. All rows checked 2026-10-11 (Amazon + brand stores + Micro Center). Compact layout: Savings shows $ and % in one column, the source is the short 'Open' link, and stock is shown together with Where to Buy. NEW columns: Shipping $ (starts at $0 — pickup / Prime / free-shipping default; type the real shipping charge for an order and the rest updates), Spools, Delivered / spool = (Price + Shipping) / Spools, Buy at / under threshold, and a Deal? flag — a green star BUY NOW means the delivered per-spool cost is at or under the threshold (out-of-stock rows never flag). Thresholds and Shipping are editable — see How to Use.</t>
        </is>
      </c>
    </row>
    <row r="3" ht="44" customHeight="1">
      <c r="A3" s="20" t="inlineStr">
        <is>
          <t>ABS &amp; ASA = heat-resistant engineering filaments; ASA is the UV/outdoor version of ABS. BOTH need an enclosed printer and ventilation — the P1S is enclosed. CHEAPEST VERIFIED: SUNLU ABS $11.99, Overture ASA (Black) $19.99, Bambu ABS refill $19.99.</t>
        </is>
      </c>
    </row>
    <row r="4" ht="30" customHeight="1">
      <c r="A4" s="9" t="inlineStr">
        <is>
          <t>Brand</t>
        </is>
      </c>
      <c r="B4" s="9" t="inlineStr">
        <is>
          <t>Product</t>
        </is>
      </c>
      <c r="C4" s="9" t="inlineStr">
        <is>
          <t>Colour / Shade</t>
        </is>
      </c>
      <c r="D4" s="9" t="inlineStr">
        <is>
          <t>Price ($)</t>
        </is>
      </c>
      <c r="E4" s="9" t="inlineStr">
        <is>
          <t>List ($)</t>
        </is>
      </c>
      <c r="F4" s="9" t="inlineStr">
        <is>
          <t>Savings</t>
        </is>
      </c>
      <c r="G4" s="9" t="inlineStr">
        <is>
          <t>Where to Buy / Stock</t>
        </is>
      </c>
      <c r="H4" s="9" t="inlineStr">
        <is>
          <t>Link</t>
        </is>
      </c>
      <c r="I4" s="9" t="inlineStr">
        <is>
          <t>Shipping ($)</t>
        </is>
      </c>
      <c r="J4" s="9" t="inlineStr">
        <is>
          <t>Spools</t>
        </is>
      </c>
      <c r="K4" s="9" t="inlineStr">
        <is>
          <t>Delivered / spool ($)</t>
        </is>
      </c>
      <c r="L4" s="9" t="inlineStr">
        <is>
          <t>Buy at / under ($/spool)</t>
        </is>
      </c>
      <c r="M4" s="9" t="inlineStr">
        <is>
          <t>Deal?</t>
        </is>
      </c>
      <c r="N4" s="9" t="inlineStr">
        <is>
          <t>Notes</t>
        </is>
      </c>
    </row>
    <row r="5" ht="60" customHeight="1">
      <c r="A5" s="14" t="inlineStr">
        <is>
          <t>Inland (Micro Center)</t>
        </is>
      </c>
      <c r="B5" s="14" t="inlineStr">
        <is>
          <t>Inland ABS / ASA 1.75mm, 1kg</t>
        </is>
      </c>
      <c r="C5" s="14" t="inlineStr">
        <is>
          <t>—</t>
        </is>
      </c>
      <c r="D5" s="15" t="n"/>
      <c r="E5" s="15" t="n"/>
      <c r="F5" s="16" t="str">
        <f>IF(OR(D5="",E5=""),"",TEXT(E5-D5,"$0.00")&amp;" ("&amp;TEXT(IF(E5=0,0,1-D5/E5),"0%")&amp;")")</f>
        <v/>
      </c>
      <c r="G5" s="14" t="inlineStr">
        <is>
          <t>Micro Center — Check in store</t>
        </is>
      </c>
      <c r="H5" s="18" t="inlineStr">
        <is>
          <t>Open</t>
        </is>
      </c>
      <c r="I5" s="26" t="n">
        <v>0</v>
      </c>
      <c r="J5" s="27" t="n">
        <v>1</v>
      </c>
      <c r="K5" s="26" t="str">
        <f>IF(OR(D5="",J5=""),"",(D5+IF(I5="",0,I5))/J5)</f>
        <v/>
      </c>
      <c r="L5" s="26" t="n">
        <v>15</v>
      </c>
      <c r="M5" s="27" t="str">
        <f>IF(OR(K5="",L5=""),"",IF(IFERROR(SEARCH("Out of stock",G5),0)&gt;0,"— (out of stock)",IF(K5&lt;=L5,"★ BUY NOW","—")))</f>
        <v/>
      </c>
      <c r="N5" s="14" t="inlineStr">
        <is>
          <t>Inland sells ABS (and ASA) at Micro Center, but no price was verified in this check — blank on purpose.</t>
        </is>
      </c>
    </row>
    <row r="6" ht="100" customHeight="1">
      <c r="A6" s="14" t="inlineStr">
        <is>
          <t>Overture</t>
        </is>
      </c>
      <c r="B6" s="14" t="inlineStr">
        <is>
          <t>OVERTURE ASA 1.75mm, 1kg</t>
        </is>
      </c>
      <c r="C6" s="14" t="inlineStr">
        <is>
          <t>Black</t>
        </is>
      </c>
      <c r="D6" s="15" t="n">
        <v>19.99</v>
      </c>
      <c r="E6" s="15" t="n"/>
      <c r="F6" s="16" t="str">
        <f>IF(OR(D6="",E6=""),"",TEXT(E6-D6,"$0.00")&amp;" ("&amp;TEXT(IF(E6=0,0,1-D6/E6),"0%")&amp;")")</f>
        <v/>
      </c>
      <c r="G6" s="14" t="inlineStr">
        <is>
          <t>Overture official store — Check on Overture store</t>
        </is>
      </c>
      <c r="H6" s="18" t="inlineStr">
        <is>
          <t>Open</t>
        </is>
      </c>
      <c r="I6" s="26" t="n">
        <v>0</v>
      </c>
      <c r="J6" s="27" t="n">
        <v>1</v>
      </c>
      <c r="K6" s="26" t="n">
        <f>IF(OR(D6="",J6=""),"",(D6+IF(I6="",0,I6))/J6)</f>
        <v>19.99</v>
      </c>
      <c r="L6" s="26" t="n">
        <v>20</v>
      </c>
      <c r="M6" s="27" t="str">
        <f>IF(OR(K6="",L6=""),"",IF(IFERROR(SEARCH("Out of stock",G6),0)&gt;0,"— (out of stock)",IF(K6&lt;=L6,"★ BUY NOW","—")))</f>
        <v>★ BUY NOW</v>
      </c>
      <c r="N6" s="14" t="inlineStr">
        <is>
          <t>ASA prices vary a lot by colour on Overture's page: Black $19.99, White $24.99, most other colours $25.99-$29.99, and several shades were sold out. Enclosed printer required (the P1S is enclosed). Overture ABS is also sold, but its price was not verified in this check.</t>
        </is>
      </c>
    </row>
    <row r="7" ht="100" customHeight="1">
      <c r="A7" s="14" t="inlineStr">
        <is>
          <t>SUNLU</t>
        </is>
      </c>
      <c r="B7" s="14" t="inlineStr">
        <is>
          <t>SUNLU ABS 1.75mm, 1kg</t>
        </is>
      </c>
      <c r="C7" s="14" t="inlineStr">
        <is>
          <t>Colour range</t>
        </is>
      </c>
      <c r="D7" s="15" t="n">
        <v>11.99</v>
      </c>
      <c r="E7" s="15" t="n">
        <v>19.99</v>
      </c>
      <c r="F7" s="16" t="str">
        <f>IF(OR(D7="",E7=""),"",TEXT(E7-D7,"$0.00")&amp;" ("&amp;TEXT(IF(E7=0,0,1-D7/E7),"0%")&amp;")")</f>
        <v>$8.00 (40%)</v>
      </c>
      <c r="G7" s="14" t="inlineStr">
        <is>
          <t>SUNLU official store — Check on SUNLU store</t>
        </is>
      </c>
      <c r="H7" s="18" t="inlineStr">
        <is>
          <t>Open</t>
        </is>
      </c>
      <c r="I7" s="26" t="n">
        <v>0</v>
      </c>
      <c r="J7" s="27" t="n">
        <v>1</v>
      </c>
      <c r="K7" s="26" t="n">
        <f>IF(OR(D7="",J7=""),"",(D7+IF(I7="",0,I7))/J7)</f>
        <v>11.99</v>
      </c>
      <c r="L7" s="26" t="n">
        <v>14</v>
      </c>
      <c r="M7" s="27" t="str">
        <f>IF(OR(K7="",L7=""),"",IF(IFERROR(SEARCH("Out of stock",G7),0)&gt;0,"— (out of stock)",IF(K7&lt;=L7,"★ BUY NOW","—")))</f>
        <v>★ BUY NOW</v>
      </c>
      <c r="N7" s="14" t="inlineStr">
        <is>
          <t>Cheapest ABS/ASA here, from SUNLU's store (its basic collection also lists ABS from $11.89 on a 6kg-minimum listing — confirm terms). SUNLU ASA exists in its marketplace lots; no verified single-spool ASA price in this check.</t>
        </is>
      </c>
    </row>
    <row r="8" ht="100" customHeight="1">
      <c r="A8" s="14" t="inlineStr">
        <is>
          <t>Elegoo</t>
        </is>
      </c>
      <c r="B8" s="14" t="inlineStr">
        <is>
          <t>ELEGOO ABS / ASA 1.75mm, 1kg</t>
        </is>
      </c>
      <c r="C8" s="14" t="inlineStr">
        <is>
          <t>Colour range</t>
        </is>
      </c>
      <c r="D8" s="15" t="n"/>
      <c r="E8" s="15" t="n"/>
      <c r="F8" s="16" t="str">
        <f>IF(OR(D8="",E8=""),"",TEXT(E8-D8,"$0.00")&amp;" ("&amp;TEXT(IF(E8=0,0,1-D8/E8),"0%")&amp;")")</f>
        <v/>
      </c>
      <c r="G8" s="14" t="inlineStr">
        <is>
          <t>Amazon / Elegoo store — Check</t>
        </is>
      </c>
      <c r="H8" s="14" t="n"/>
      <c r="I8" s="26" t="n">
        <v>0</v>
      </c>
      <c r="J8" s="27" t="n">
        <v>1</v>
      </c>
      <c r="K8" s="26" t="str">
        <f>IF(OR(D8="",J8=""),"",(D8+IF(I8="",0,I8))/J8)</f>
        <v/>
      </c>
      <c r="L8" s="26" t="n">
        <v>15</v>
      </c>
      <c r="M8" s="27" t="str">
        <f>IF(OR(K8="",L8=""),"",IF(IFERROR(SEARCH("Out of stock",G8),0)&gt;0,"— (out of stock)",IF(K8&lt;=L8,"★ BUY NOW","—")))</f>
        <v/>
      </c>
      <c r="N8" s="14" t="inlineStr">
        <is>
          <t>Elegoo ABS exists (its EU store lists ABS colours at EUR 17.99 — not a US price) and ASA appears in Elegoo's US marketplace lots. No verified US single-spool price for either in this check — blank on purpose.</t>
        </is>
      </c>
    </row>
    <row r="9" ht="90" customHeight="1">
      <c r="A9" s="14" t="inlineStr">
        <is>
          <t>Bambu Lab</t>
        </is>
      </c>
      <c r="B9" s="14" t="inlineStr">
        <is>
          <t>Bambu Lab ABS 1.75mm, 1kg — Refill</t>
        </is>
      </c>
      <c r="C9" s="14" t="inlineStr">
        <is>
          <t>Colour range</t>
        </is>
      </c>
      <c r="D9" s="15" t="n">
        <v>19.99</v>
      </c>
      <c r="E9" s="15" t="n">
        <v>19.99</v>
      </c>
      <c r="F9" s="16" t="str">
        <f>IF(OR(D9="",E9=""),"",TEXT(E9-D9,"$0.00")&amp;" ("&amp;TEXT(IF(E9=0,0,1-D9/E9),"0%")&amp;")")</f>
        <v>$0.00 (0%)</v>
      </c>
      <c r="G9" s="14" t="inlineStr">
        <is>
          <t>Bambu Lab US Store — Check on Bambu store</t>
        </is>
      </c>
      <c r="H9" s="18" t="inlineStr">
        <is>
          <t>Open</t>
        </is>
      </c>
      <c r="I9" s="26" t="n">
        <v>0</v>
      </c>
      <c r="J9" s="27" t="n">
        <v>1</v>
      </c>
      <c r="K9" s="26" t="n">
        <f>IF(OR(D9="",J9=""),"",(D9+IF(I9="",0,I9))/J9)</f>
        <v>19.99</v>
      </c>
      <c r="L9" s="26" t="n">
        <v>20</v>
      </c>
      <c r="M9" s="27" t="str">
        <f>IF(OR(K9="",L9=""),"",IF(IFERROR(SEARCH("Out of stock",G9),0)&gt;0,"— (out of stock)",IF(K9&lt;=L9,"★ BUY NOW","—")))</f>
        <v>★ BUY NOW</v>
      </c>
      <c r="N9" s="14" t="inlineStr">
        <is>
          <t>Original prices from Bambu's US bulk table: $19.99 refill / $22.99 with spool; the all-filaments page showed ABS at $11.19 after bulk sale (multi-roll price, not single). Enclosure needed — P1S qualifies.</t>
        </is>
      </c>
    </row>
    <row r="10" ht="75" customHeight="1">
      <c r="A10" s="14" t="inlineStr">
        <is>
          <t>Bambu Lab</t>
        </is>
      </c>
      <c r="B10" s="14" t="inlineStr">
        <is>
          <t>Bambu Lab ASA 1.75mm, 1kg</t>
        </is>
      </c>
      <c r="C10" s="14" t="inlineStr">
        <is>
          <t>Colour range</t>
        </is>
      </c>
      <c r="D10" s="15" t="n">
        <v>29.99</v>
      </c>
      <c r="E10" s="15" t="n"/>
      <c r="F10" s="16" t="str">
        <f>IF(OR(D10="",E10=""),"",TEXT(E10-D10,"$0.00")&amp;" ("&amp;TEXT(IF(E10=0,0,1-D10/E10),"0%")&amp;")")</f>
        <v/>
      </c>
      <c r="G10" s="14" t="inlineStr">
        <is>
          <t>Bambu Lab US Store — Check on Bambu store</t>
        </is>
      </c>
      <c r="H10" s="18" t="inlineStr">
        <is>
          <t>Open</t>
        </is>
      </c>
      <c r="I10" s="26" t="n">
        <v>0</v>
      </c>
      <c r="J10" s="27" t="n">
        <v>1</v>
      </c>
      <c r="K10" s="26" t="n">
        <f>IF(OR(D10="",J10=""),"",(D10+IF(I10="",0,I10))/J10)</f>
        <v>29.99</v>
      </c>
      <c r="L10" s="26" t="n">
        <v>30</v>
      </c>
      <c r="M10" s="27" t="str">
        <f>IF(OR(K10="",L10=""),"",IF(IFERROR(SEARCH("Out of stock",G10),0)&gt;0,"— (out of stock)",IF(K10&lt;=L10,"★ BUY NOW","—")))</f>
        <v>★ BUY NOW</v>
      </c>
      <c r="N10" s="14" t="inlineStr">
        <is>
          <t>ASA is Bambu's priciest everyday engineering filament here. For outdoor parts that need to survive sun/heat — ASA beats ABS on UV resistance.</t>
        </is>
      </c>
    </row>
    <row r="11" ht="75" customHeight="1">
      <c r="A11" s="14" t="inlineStr">
        <is>
          <t>Creality</t>
        </is>
      </c>
      <c r="B11" s="14" t="inlineStr">
        <is>
          <t>Creality Hyper ABS / Hyper ASA 1.75mm, 1kg</t>
        </is>
      </c>
      <c r="C11" s="14" t="inlineStr">
        <is>
          <t>—</t>
        </is>
      </c>
      <c r="D11" s="15" t="n"/>
      <c r="E11" s="15" t="n"/>
      <c r="F11" s="16" t="str">
        <f>IF(OR(D11="",E11=""),"",TEXT(E11-D11,"$0.00")&amp;" ("&amp;TEXT(IF(E11=0,0,1-D11/E11),"0%")&amp;")")</f>
        <v/>
      </c>
      <c r="G11" s="14" t="inlineStr">
        <is>
          <t>Creality / retailers — Check retailer</t>
        </is>
      </c>
      <c r="H11" s="14" t="n"/>
      <c r="I11" s="26" t="n">
        <v>0</v>
      </c>
      <c r="J11" s="27" t="n">
        <v>1</v>
      </c>
      <c r="K11" s="26" t="str">
        <f>IF(OR(D11="",J11=""),"",(D11+IF(I11="",0,I11))/J11)</f>
        <v/>
      </c>
      <c r="L11" s="26" t="n">
        <v>16</v>
      </c>
      <c r="M11" s="27" t="str">
        <f>IF(OR(K11="",L11=""),"",IF(IFERROR(SEARCH("Out of stock",G11),0)&gt;0,"— (out of stock)",IF(K11&lt;=L11,"★ BUY NOW","—")))</f>
        <v/>
      </c>
      <c r="N11" s="14" t="inlineStr">
        <is>
          <t>Hyper ABS and Hyper ASA exist in Creality's Hyper range (marketplace listings found), but no verified Creality US store price in this check — blank on purpose.</t>
        </is>
      </c>
    </row>
  </sheetData>
  <autoFilter ref="A4:N4"/>
  <mergeCells count="3">
    <mergeCell ref="A3:N3"/>
    <mergeCell ref="A2:N2"/>
    <mergeCell ref="A1:N1"/>
  </mergeCells>
  <conditionalFormatting sqref="M5:M11">
    <cfRule type="expression" priority="1" dxfId="0" stopIfTrue="0">
      <formula>$M5="★ BUY NOW"</formula>
    </cfRule>
  </conditionalFormatting>
  <hyperlinks>
    <hyperlink xmlns:r="http://schemas.openxmlformats.org/officeDocument/2006/relationships" ref="H5" r:id="rId1"/>
    <hyperlink xmlns:r="http://schemas.openxmlformats.org/officeDocument/2006/relationships" ref="H6" r:id="rId2"/>
    <hyperlink xmlns:r="http://schemas.openxmlformats.org/officeDocument/2006/relationships" ref="H7" r:id="rId3"/>
    <hyperlink xmlns:r="http://schemas.openxmlformats.org/officeDocument/2006/relationships" ref="H9" r:id="rId4"/>
    <hyperlink xmlns:r="http://schemas.openxmlformats.org/officeDocument/2006/relationships" ref="H10" r:id="rId5"/>
  </hyperlinks>
  <pageMargins left="0.75" right="0.75" top="1" bottom="1" header="0.5" footer="0.5"/>
  <pageSetup orientation="landscape" fitToHeight="0" fitToWidth="1"/>
</worksheet>
</file>

<file path=xl/worksheets/sheet9.xml><?xml version="1.0" encoding="utf-8"?>
<worksheet xmlns="http://schemas.openxmlformats.org/spreadsheetml/2006/main">
  <sheetPr>
    <tabColor rgb="005B9BD5"/>
    <outlinePr summaryBelow="1" summaryRight="1"/>
    <pageSetUpPr fitToPage="1"/>
  </sheetPr>
  <dimension ref="A1:N13"/>
  <sheetViews>
    <sheetView zoomScale="85" workbookViewId="0">
      <pane ySplit="4" topLeftCell="A5" activePane="bottomLeft" state="frozen"/>
      <selection pane="bottomLeft" activeCell="A1" sqref="A1"/>
    </sheetView>
  </sheetViews>
  <sheetFormatPr baseColWidth="8" defaultRowHeight="15"/>
  <cols>
    <col width="13" customWidth="1" min="1" max="1"/>
    <col width="24" customWidth="1" min="2" max="2"/>
    <col width="12" customWidth="1" min="3" max="3"/>
    <col width="9" customWidth="1" min="4" max="4"/>
    <col width="9" customWidth="1" min="5" max="5"/>
    <col width="13" customWidth="1" min="6" max="6"/>
    <col width="20" customWidth="1" min="7" max="7"/>
    <col width="6" customWidth="1" min="8" max="8"/>
    <col width="9" customWidth="1" min="9" max="9"/>
    <col width="7" customWidth="1" min="10" max="10"/>
    <col width="11" customWidth="1" min="11" max="11"/>
    <col width="11" customWidth="1" min="12" max="12"/>
    <col width="12" customWidth="1" min="13" max="13"/>
    <col width="28" customWidth="1" min="14" max="14"/>
  </cols>
  <sheetData>
    <row r="1">
      <c r="A1" s="8" t="inlineStr">
        <is>
          <t>Filament Pricing — Specialty &amp; Other Types (1.75mm, 1kg)</t>
        </is>
      </c>
    </row>
    <row r="2" ht="62" customHeight="1">
      <c r="A2" s="2" t="inlineStr">
        <is>
          <t>1.75mm, 1kg single spool unless Notes say bundle / refill / minimum order. All rows checked 2026-10-11 (Amazon + brand stores + Micro Center). Compact layout: Savings shows $ and % in one column, the source is the short 'Open' link, and stock is shown together with Where to Buy. NEW columns: Shipping $ (starts at $0 — pickup / Prime / free-shipping default; type the real shipping charge for an order and the rest updates), Spools, Delivered / spool = (Price + Shipping) / Spools, Buy at / under threshold, and a Deal? flag — a green star BUY NOW means the delivered per-spool cost is at or under the threshold (out-of-stock rows never flag). Thresholds and Shipping are editable — see How to Use.</t>
        </is>
      </c>
    </row>
    <row r="3" ht="44" customHeight="1">
      <c r="A3" s="20" t="inlineStr">
        <is>
          <t>SPECIALTY = high-speed PLA, wood, marble, metallic, glow, gradient, sparkle and carbon-fibre-filled lines. VERIFIED ANCHORS: Bambu's specialty PLA family is flat $24.99 (CF lines from $31.99); SUNLU Galaxy PLA from $15.99 and Metallic PLA $24.99. Several brands' specialty US prices were not verified — blank, with the unverified figures kept in Notes only.</t>
        </is>
      </c>
    </row>
    <row r="4" ht="30" customHeight="1">
      <c r="A4" s="9" t="inlineStr">
        <is>
          <t>Brand</t>
        </is>
      </c>
      <c r="B4" s="9" t="inlineStr">
        <is>
          <t>Product</t>
        </is>
      </c>
      <c r="C4" s="9" t="inlineStr">
        <is>
          <t>Colour / Shade</t>
        </is>
      </c>
      <c r="D4" s="9" t="inlineStr">
        <is>
          <t>Price ($)</t>
        </is>
      </c>
      <c r="E4" s="9" t="inlineStr">
        <is>
          <t>List ($)</t>
        </is>
      </c>
      <c r="F4" s="9" t="inlineStr">
        <is>
          <t>Savings</t>
        </is>
      </c>
      <c r="G4" s="9" t="inlineStr">
        <is>
          <t>Where to Buy / Stock</t>
        </is>
      </c>
      <c r="H4" s="9" t="inlineStr">
        <is>
          <t>Link</t>
        </is>
      </c>
      <c r="I4" s="9" t="inlineStr">
        <is>
          <t>Shipping ($)</t>
        </is>
      </c>
      <c r="J4" s="9" t="inlineStr">
        <is>
          <t>Spools</t>
        </is>
      </c>
      <c r="K4" s="9" t="inlineStr">
        <is>
          <t>Delivered / spool ($)</t>
        </is>
      </c>
      <c r="L4" s="9" t="inlineStr">
        <is>
          <t>Buy at / under ($/spool)</t>
        </is>
      </c>
      <c r="M4" s="9" t="inlineStr">
        <is>
          <t>Deal?</t>
        </is>
      </c>
      <c r="N4" s="9" t="inlineStr">
        <is>
          <t>Notes</t>
        </is>
      </c>
    </row>
    <row r="5" ht="45" customHeight="1">
      <c r="A5" s="14" t="inlineStr">
        <is>
          <t>SUNLU</t>
        </is>
      </c>
      <c r="B5" s="14" t="inlineStr">
        <is>
          <t>SUNLU PLA Galaxy 1.75mm, 1kg (colour-shifting / sparkle PLA)</t>
        </is>
      </c>
      <c r="C5" s="14" t="inlineStr">
        <is>
          <t>Galaxy colour range (from price)</t>
        </is>
      </c>
      <c r="D5" s="15" t="n">
        <v>15.99</v>
      </c>
      <c r="E5" s="15" t="n">
        <v>22.99</v>
      </c>
      <c r="F5" s="16" t="str">
        <f>IF(OR(D5="",E5=""),"",TEXT(E5-D5,"$0.00")&amp;" ("&amp;TEXT(IF(E5=0,0,1-D5/E5),"0%")&amp;")")</f>
        <v>$7.00 (30%)</v>
      </c>
      <c r="G5" s="14" t="inlineStr">
        <is>
          <t>SUNLU official store — Check on SUNLU store</t>
        </is>
      </c>
      <c r="H5" s="18" t="inlineStr">
        <is>
          <t>Open</t>
        </is>
      </c>
      <c r="I5" s="26" t="n">
        <v>0</v>
      </c>
      <c r="J5" s="27" t="n">
        <v>1</v>
      </c>
      <c r="K5" s="26" t="n">
        <f>IF(OR(D5="",J5=""),"",(D5+IF(I5="",0,I5))/J5)</f>
        <v>15.99</v>
      </c>
      <c r="L5" s="26" t="n">
        <v>20</v>
      </c>
      <c r="M5" s="27" t="str">
        <f>IF(OR(K5="",L5=""),"",IF(IFERROR(SEARCH("Out of stock",G5),0)&gt;0,"— (out of stock)",IF(K5&lt;=L5,"★ BUY NOW","—")))</f>
        <v>★ BUY NOW</v>
      </c>
      <c r="N5" s="14" t="inlineStr">
        <is>
          <t>Specialty decorative PLA, listed inside SUNLU's PLA+ collection page. 'From' price — shades vary.</t>
        </is>
      </c>
    </row>
    <row r="6" ht="60" customHeight="1">
      <c r="A6" s="14" t="inlineStr">
        <is>
          <t>SUNLU</t>
        </is>
      </c>
      <c r="B6" s="14" t="inlineStr">
        <is>
          <t>SUNLU PLA Metallic 1.75mm, 1kg</t>
        </is>
      </c>
      <c r="C6" s="14" t="inlineStr">
        <is>
          <t>Metallic colour range</t>
        </is>
      </c>
      <c r="D6" s="15" t="n">
        <v>24.99</v>
      </c>
      <c r="E6" s="15" t="n"/>
      <c r="F6" s="16" t="str">
        <f>IF(OR(D6="",E6=""),"",TEXT(E6-D6,"$0.00")&amp;" ("&amp;TEXT(IF(E6=0,0,1-D6/E6),"0%")&amp;")")</f>
        <v/>
      </c>
      <c r="G6" s="14" t="inlineStr">
        <is>
          <t>SUNLU official store — Check on SUNLU store</t>
        </is>
      </c>
      <c r="H6" s="18" t="inlineStr">
        <is>
          <t>Open</t>
        </is>
      </c>
      <c r="I6" s="26" t="n">
        <v>0</v>
      </c>
      <c r="J6" s="27" t="n">
        <v>1</v>
      </c>
      <c r="K6" s="26" t="n">
        <f>IF(OR(D6="",J6=""),"",(D6+IF(I6="",0,I6))/J6)</f>
        <v>24.99</v>
      </c>
      <c r="L6" s="26" t="n">
        <v>20</v>
      </c>
      <c r="M6" s="27" t="str">
        <f>IF(OR(K6="",L6=""),"",IF(IFERROR(SEARCH("Out of stock",G6),0)&gt;0,"— (out of stock)",IF(K6&lt;=L6,"★ BUY NOW","—")))</f>
        <v>—</v>
      </c>
      <c r="N6" s="14" t="inlineStr">
        <is>
          <t>Metal-look PLA (not metal-filled tooling filament). Product-page price $24.99 for all variants in the listing.</t>
        </is>
      </c>
    </row>
    <row r="7" ht="100" customHeight="1">
      <c r="A7" s="14" t="inlineStr">
        <is>
          <t>SUNLU</t>
        </is>
      </c>
      <c r="B7" s="14" t="inlineStr">
        <is>
          <t>SUNLU Wood PLA / Marble PLA / Glow PLA 1.75mm, 1kg</t>
        </is>
      </c>
      <c r="C7" s="14" t="inlineStr">
        <is>
          <t>Wood / Marble / Glow</t>
        </is>
      </c>
      <c r="D7" s="15" t="n"/>
      <c r="E7" s="15" t="n"/>
      <c r="F7" s="16" t="str">
        <f>IF(OR(D7="",E7=""),"",TEXT(E7-D7,"$0.00")&amp;" ("&amp;TEXT(IF(E7=0,0,1-D7/E7),"0%")&amp;")")</f>
        <v/>
      </c>
      <c r="G7" s="14" t="inlineStr">
        <is>
          <t>SUNLU official store — Check on SUNLU store</t>
        </is>
      </c>
      <c r="H7" s="14" t="n"/>
      <c r="I7" s="26" t="n">
        <v>0</v>
      </c>
      <c r="J7" s="27" t="n">
        <v>1</v>
      </c>
      <c r="K7" s="26" t="str">
        <f>IF(OR(D7="",J7=""),"",(D7+IF(I7="",0,I7))/J7)</f>
        <v/>
      </c>
      <c r="L7" s="26" t="n">
        <v>20</v>
      </c>
      <c r="M7" s="27" t="str">
        <f>IF(OR(K7="",L7=""),"",IF(IFERROR(SEARCH("Out of stock",G7),0)&gt;0,"— (out of stock)",IF(K7&lt;=L7,"★ BUY NOW","—")))</f>
        <v/>
      </c>
      <c r="N7" s="14" t="inlineStr">
        <is>
          <t>These SUNLU specialty lines exist — SUNLU's store summary showed Wood PLA $13.99 vs $20.99, High-Speed Marble $17.99 vs $31.99 and Glow PLA $19.99 vs $24.99 — but those prices came from a store summary, not a verified product page in this check, so Current Price is blank and the figures live in this note only.</t>
        </is>
      </c>
    </row>
    <row r="8" ht="100" customHeight="1">
      <c r="A8" s="14" t="inlineStr">
        <is>
          <t>Overture</t>
        </is>
      </c>
      <c r="B8" s="14" t="inlineStr">
        <is>
          <t>OVERTURE High-Speed / Turbo PLA, Wood, Marble &amp; other specialty 1.75mm, 1kg</t>
        </is>
      </c>
      <c r="C8" s="14" t="inlineStr">
        <is>
          <t>Various</t>
        </is>
      </c>
      <c r="D8" s="15" t="n"/>
      <c r="E8" s="15" t="n"/>
      <c r="F8" s="16" t="str">
        <f>IF(OR(D8="",E8=""),"",TEXT(E8-D8,"$0.00")&amp;" ("&amp;TEXT(IF(E8=0,0,1-D8/E8),"0%")&amp;")")</f>
        <v/>
      </c>
      <c r="G8" s="14" t="inlineStr">
        <is>
          <t>Overture official store / Amazon — Check</t>
        </is>
      </c>
      <c r="H8" s="14" t="n"/>
      <c r="I8" s="26" t="n">
        <v>0</v>
      </c>
      <c r="J8" s="27" t="n">
        <v>1</v>
      </c>
      <c r="K8" s="26" t="str">
        <f>IF(OR(D8="",J8=""),"",(D8+IF(I8="",0,I8))/J8)</f>
        <v/>
      </c>
      <c r="L8" s="26" t="n">
        <v>20</v>
      </c>
      <c r="M8" s="27" t="str">
        <f>IF(OR(K8="",L8=""),"",IF(IFERROR(SEARCH("Out of stock",G8),0)&gt;0,"— (out of stock)",IF(K8&lt;=L8,"★ BUY NOW","—")))</f>
        <v/>
      </c>
      <c r="N8" s="14" t="inlineStr">
        <is>
          <t>Overture sells high-speed (Turbo) PLA and specialty finishes on its store and Amazon, but no specialty price was verified on an official product page in this check — blank on purpose rather than using an expired deal price.</t>
        </is>
      </c>
    </row>
    <row r="9" ht="90" customHeight="1">
      <c r="A9" s="14" t="inlineStr">
        <is>
          <t>Elegoo</t>
        </is>
      </c>
      <c r="B9" s="14" t="inlineStr">
        <is>
          <t>ELEGOO Wood PLA / PLA-CF &amp; other specialty 1.75mm, 1kg</t>
        </is>
      </c>
      <c r="C9" s="14" t="inlineStr">
        <is>
          <t>Various</t>
        </is>
      </c>
      <c r="D9" s="15" t="n"/>
      <c r="E9" s="15" t="n"/>
      <c r="F9" s="16" t="str">
        <f>IF(OR(D9="",E9=""),"",TEXT(E9-D9,"$0.00")&amp;" ("&amp;TEXT(IF(E9=0,0,1-D9/E9),"0%")&amp;")")</f>
        <v/>
      </c>
      <c r="G9" s="14" t="inlineStr">
        <is>
          <t>Amazon / Elegoo store — Check</t>
        </is>
      </c>
      <c r="H9" s="14" t="n"/>
      <c r="I9" s="26" t="n">
        <v>0</v>
      </c>
      <c r="J9" s="27" t="n">
        <v>1</v>
      </c>
      <c r="K9" s="26" t="str">
        <f>IF(OR(D9="",J9=""),"",(D9+IF(I9="",0,I9))/J9)</f>
        <v/>
      </c>
      <c r="L9" s="26" t="n">
        <v>20</v>
      </c>
      <c r="M9" s="27" t="str">
        <f>IF(OR(K9="",L9=""),"",IF(IFERROR(SEARCH("Out of stock",G9),0)&gt;0,"— (out of stock)",IF(K9&lt;=L9,"★ BUY NOW","—")))</f>
        <v/>
      </c>
      <c r="N9" s="14" t="inlineStr">
        <is>
          <t>Elegoo Wood PLA and PLA-CF exist (PLA-CF listed on Elegoo's EU store; Wood appears in US marketplace lots). No verified US single-spool prices in this check — blank on purpose.</t>
        </is>
      </c>
    </row>
    <row r="10" ht="75" customHeight="1">
      <c r="A10" s="14" t="inlineStr">
        <is>
          <t>Bambu Lab</t>
        </is>
      </c>
      <c r="B10" s="14" t="inlineStr">
        <is>
          <t>Bambu Lab PLA Wood / PLA Marble / PLA Metal / PLA Sparkle / PLA Galaxy / PLA Glow / PLA Basic Gradient 1.75mm, 1kg</t>
        </is>
      </c>
      <c r="C10" s="14" t="inlineStr">
        <is>
          <t>Specialty colour range</t>
        </is>
      </c>
      <c r="D10" s="15" t="n">
        <v>24.99</v>
      </c>
      <c r="E10" s="15" t="n"/>
      <c r="F10" s="16" t="str">
        <f>IF(OR(D10="",E10=""),"",TEXT(E10-D10,"$0.00")&amp;" ("&amp;TEXT(IF(E10=0,0,1-D10/E10),"0%")&amp;")")</f>
        <v/>
      </c>
      <c r="G10" s="14" t="inlineStr">
        <is>
          <t>Bambu Lab US Store — Check on Bambu store</t>
        </is>
      </c>
      <c r="H10" s="18" t="inlineStr">
        <is>
          <t>Open</t>
        </is>
      </c>
      <c r="I10" s="26" t="n">
        <v>0</v>
      </c>
      <c r="J10" s="27" t="n">
        <v>1</v>
      </c>
      <c r="K10" s="26" t="n">
        <f>IF(OR(D10="",J10=""),"",(D10+IF(I10="",0,I10))/J10)</f>
        <v>24.99</v>
      </c>
      <c r="L10" s="26" t="n">
        <v>25</v>
      </c>
      <c r="M10" s="27" t="str">
        <f>IF(OR(K10="",L10=""),"",IF(IFERROR(SEARCH("Out of stock",G10),0)&gt;0,"— (out of stock)",IF(K10&lt;=L10,"★ BUY NOW","—")))</f>
        <v>★ BUY NOW</v>
      </c>
      <c r="N10" s="14" t="inlineStr">
        <is>
          <t>All of these Bambu specialty PLAs sit at the same $24.99 list price on Bambu's all-filaments page. One row for the family — pick the finish on the store page.</t>
        </is>
      </c>
    </row>
    <row r="11" ht="100" customHeight="1">
      <c r="A11" s="14" t="inlineStr">
        <is>
          <t>Bambu Lab</t>
        </is>
      </c>
      <c r="B11" s="14" t="inlineStr">
        <is>
          <t>Bambu Lab PLA-CF / PETG-CF (carbon-fibre filled) 1.75mm, 1kg</t>
        </is>
      </c>
      <c r="C11" s="14" t="inlineStr">
        <is>
          <t>Black / colour range</t>
        </is>
      </c>
      <c r="D11" s="15" t="n">
        <v>31.99</v>
      </c>
      <c r="E11" s="15" t="n"/>
      <c r="F11" s="16" t="str">
        <f>IF(OR(D11="",E11=""),"",TEXT(E11-D11,"$0.00")&amp;" ("&amp;TEXT(IF(E11=0,0,1-D11/E11),"0%")&amp;")")</f>
        <v/>
      </c>
      <c r="G11" s="14" t="inlineStr">
        <is>
          <t>Bambu Lab US Store — Check on Bambu store</t>
        </is>
      </c>
      <c r="H11" s="18" t="inlineStr">
        <is>
          <t>Open</t>
        </is>
      </c>
      <c r="I11" s="26" t="n">
        <v>0</v>
      </c>
      <c r="J11" s="27" t="n">
        <v>1</v>
      </c>
      <c r="K11" s="26" t="n">
        <f>IF(OR(D11="",J11=""),"",(D11+IF(I11="",0,I11))/J11)</f>
        <v>31.99</v>
      </c>
      <c r="L11" s="26" t="n">
        <v>25</v>
      </c>
      <c r="M11" s="27" t="str">
        <f>IF(OR(K11="",L11=""),"",IF(IFERROR(SEARCH("Out of stock",G11),0)&gt;0,"— (out of stock)",IF(K11&lt;=L11,"★ BUY NOW","—")))</f>
        <v>—</v>
      </c>
      <c r="N11" s="14" t="inlineStr">
        <is>
          <t>Carbon-fibre filled lines start 'from $31.99' on Bambu's all-filaments page (PET-CF from $44.99, PA6-CF from $42.99). CF filaments are abrasive — hardened nozzle/gears needed on the P1S; Scott's watcher already tracks P1S hotend upgrades.</t>
        </is>
      </c>
    </row>
    <row r="12" ht="75" customHeight="1">
      <c r="A12" s="14" t="inlineStr">
        <is>
          <t>Creality</t>
        </is>
      </c>
      <c r="B12" s="14" t="inlineStr">
        <is>
          <t>Creality Hyper PLA-CF / CR-PLA specialty finishes 1.75mm, 1kg</t>
        </is>
      </c>
      <c r="C12" s="14" t="inlineStr">
        <is>
          <t>Various</t>
        </is>
      </c>
      <c r="D12" s="15" t="n"/>
      <c r="E12" s="15" t="n"/>
      <c r="F12" s="16" t="str">
        <f>IF(OR(D12="",E12=""),"",TEXT(E12-D12,"$0.00")&amp;" ("&amp;TEXT(IF(E12=0,0,1-D12/E12),"0%")&amp;")")</f>
        <v/>
      </c>
      <c r="G12" s="14" t="inlineStr">
        <is>
          <t>Creality / retailers — Check retailer</t>
        </is>
      </c>
      <c r="H12" s="14" t="n"/>
      <c r="I12" s="26" t="n">
        <v>0</v>
      </c>
      <c r="J12" s="27" t="n">
        <v>1</v>
      </c>
      <c r="K12" s="26" t="str">
        <f>IF(OR(D12="",J12=""),"",(D12+IF(I12="",0,I12))/J12)</f>
        <v/>
      </c>
      <c r="L12" s="26" t="n">
        <v>20</v>
      </c>
      <c r="M12" s="27" t="str">
        <f>IF(OR(K12="",L12=""),"",IF(IFERROR(SEARCH("Out of stock",G12),0)&gt;0,"— (out of stock)",IF(K12&lt;=L12,"★ BUY NOW","—")))</f>
        <v/>
      </c>
      <c r="N12" s="14" t="inlineStr">
        <is>
          <t>Creality specialty lines exist in the Hyper/CR ranges (marketplace listings found), but no verified Creality US store prices in this check — blank on purpose.</t>
        </is>
      </c>
    </row>
    <row r="13" ht="90" customHeight="1">
      <c r="A13" s="14" t="inlineStr">
        <is>
          <t>Inland (Micro Center)</t>
        </is>
      </c>
      <c r="B13" s="14" t="inlineStr">
        <is>
          <t>Inland specialty PLA (Wood, Marble, Rainbow, Temperature-Change etc.) 1.75mm, 1kg</t>
        </is>
      </c>
      <c r="C13" s="14" t="inlineStr">
        <is>
          <t>Various</t>
        </is>
      </c>
      <c r="D13" s="15" t="n"/>
      <c r="E13" s="15" t="n"/>
      <c r="F13" s="16" t="str">
        <f>IF(OR(D13="",E13=""),"",TEXT(E13-D13,"$0.00")&amp;" ("&amp;TEXT(IF(E13=0,0,1-D13/E13),"0%")&amp;")")</f>
        <v/>
      </c>
      <c r="G13" s="14" t="inlineStr">
        <is>
          <t>Micro Center — Check in store</t>
        </is>
      </c>
      <c r="H13" s="18" t="inlineStr">
        <is>
          <t>Open</t>
        </is>
      </c>
      <c r="I13" s="26" t="n">
        <v>0</v>
      </c>
      <c r="J13" s="27" t="n">
        <v>1</v>
      </c>
      <c r="K13" s="26" t="str">
        <f>IF(OR(D13="",J13=""),"",(D13+IF(I13="",0,I13))/J13)</f>
        <v/>
      </c>
      <c r="L13" s="26" t="n">
        <v>18</v>
      </c>
      <c r="M13" s="27" t="str">
        <f>IF(OR(K13="",L13=""),"",IF(IFERROR(SEARCH("Out of stock",G13),0)&gt;0,"— (out of stock)",IF(K13&lt;=L13,"★ BUY NOW","—")))</f>
        <v/>
      </c>
      <c r="N13" s="14" t="inlineStr">
        <is>
          <t>Inland's specialty range is wide in store, but no specialty-shade price was verified in this check beyond Silk (Silk tab) and the glow PLA+ shade (PLA+ tab) — blank on purpose.</t>
        </is>
      </c>
    </row>
  </sheetData>
  <autoFilter ref="A4:N4"/>
  <mergeCells count="3">
    <mergeCell ref="A3:N3"/>
    <mergeCell ref="A2:N2"/>
    <mergeCell ref="A1:N1"/>
  </mergeCells>
  <conditionalFormatting sqref="M5:M13">
    <cfRule type="expression" priority="1" dxfId="0" stopIfTrue="0">
      <formula>$M5="★ BUY NOW"</formula>
    </cfRule>
  </conditionalFormatting>
  <hyperlinks>
    <hyperlink xmlns:r="http://schemas.openxmlformats.org/officeDocument/2006/relationships" ref="H5" r:id="rId1"/>
    <hyperlink xmlns:r="http://schemas.openxmlformats.org/officeDocument/2006/relationships" ref="H6" r:id="rId2"/>
    <hyperlink xmlns:r="http://schemas.openxmlformats.org/officeDocument/2006/relationships" ref="H10" r:id="rId3"/>
    <hyperlink xmlns:r="http://schemas.openxmlformats.org/officeDocument/2006/relationships" ref="H11" r:id="rId4"/>
    <hyperlink xmlns:r="http://schemas.openxmlformats.org/officeDocument/2006/relationships" ref="H13" r:id="rId5"/>
  </hyperlinks>
  <pageMargins left="0.75" right="0.75" top="1" bottom="1" header="0.5" footer="0.5"/>
  <pageSetup orientation="landscape" fitToHeight="0" fitToWidth="1"/>
</worksheet>
</file>

<file path=xl/worksheets/sheet10.xml><?xml version="1.0" encoding="utf-8"?>
<worksheet xmlns="http://schemas.openxmlformats.org/spreadsheetml/2006/main">
  <sheetPr>
    <tabColor rgb="00A6A6A6"/>
    <outlinePr summaryBelow="1" summaryRight="1"/>
    <pageSetUpPr fitToPage="1"/>
  </sheetPr>
  <dimension ref="A1:G29"/>
  <sheetViews>
    <sheetView zoomScale="85" workbookViewId="0">
      <pane ySplit="2" topLeftCell="A3" activePane="bottomLeft" state="frozen"/>
      <selection pane="bottomLeft" activeCell="A1" sqref="A1"/>
    </sheetView>
  </sheetViews>
  <sheetFormatPr baseColWidth="8" defaultRowHeight="15"/>
  <cols>
    <col width="12" customWidth="1" min="1" max="1"/>
    <col width="18" customWidth="1" min="2" max="2"/>
    <col width="38" customWidth="1" min="3" max="3"/>
    <col width="13" customWidth="1" min="4" max="4"/>
    <col width="15" customWidth="1" min="5" max="5"/>
    <col width="17" customWidth="1" min="6" max="6"/>
    <col width="36" customWidth="1" min="7" max="7"/>
  </cols>
  <sheetData>
    <row r="1">
      <c r="A1" s="21" t="inlineStr">
        <is>
          <t>Price History — one row per check, newest first</t>
        </is>
      </c>
    </row>
    <row r="2">
      <c r="A2" s="9" t="inlineStr">
        <is>
          <t>Date Checked</t>
        </is>
      </c>
      <c r="B2" s="9" t="inlineStr">
        <is>
          <t>Brand</t>
        </is>
      </c>
      <c r="C2" s="9" t="inlineStr">
        <is>
          <t>Product / Colour</t>
        </is>
      </c>
      <c r="D2" s="9" t="inlineStr">
        <is>
          <t>Current Price ($)</t>
        </is>
      </c>
      <c r="E2" s="9" t="inlineStr">
        <is>
          <t>Regular / List Price ($)</t>
        </is>
      </c>
      <c r="F2" s="9" t="inlineStr">
        <is>
          <t>Where to Buy</t>
        </is>
      </c>
      <c r="G2" s="9" t="inlineStr">
        <is>
          <t>Stock Status / Notes</t>
        </is>
      </c>
    </row>
    <row r="3" ht="34" customHeight="1">
      <c r="A3" s="28" t="n">
        <v>46306</v>
      </c>
      <c r="B3" s="14" t="inlineStr">
        <is>
          <t>Inland (Micro Center)</t>
        </is>
      </c>
      <c r="C3" s="14" t="inlineStr">
        <is>
          <t>Matte PLA 1kg — Matte White</t>
        </is>
      </c>
      <c r="D3" s="23" t="n">
        <v>13.99</v>
      </c>
      <c r="E3" s="23" t="n"/>
      <c r="F3" s="14" t="inlineStr">
        <is>
          <t>Micro Center</t>
        </is>
      </c>
      <c r="G3" s="14" t="inlineStr">
        <is>
          <t>In stock (listed). SKU 642922.</t>
        </is>
      </c>
    </row>
    <row r="4" ht="34" customHeight="1">
      <c r="A4" s="28" t="n">
        <v>46306</v>
      </c>
      <c r="B4" s="14" t="inlineStr">
        <is>
          <t>Overture</t>
        </is>
      </c>
      <c r="C4" s="14" t="inlineStr">
        <is>
          <t>Matte PLA 1kg — Matte White</t>
        </is>
      </c>
      <c r="D4" s="23" t="n">
        <v>18.69</v>
      </c>
      <c r="E4" s="23" t="n">
        <v>23.99</v>
      </c>
      <c r="F4" s="14" t="inlineStr">
        <is>
          <t>Overture official store</t>
        </is>
      </c>
      <c r="G4" s="14" t="inlineStr">
        <is>
          <t>In stock; 402 in stock at the check.</t>
        </is>
      </c>
    </row>
    <row r="5" ht="34" customHeight="1">
      <c r="A5" s="28" t="n">
        <v>46306</v>
      </c>
      <c r="B5" s="14" t="inlineStr">
        <is>
          <t>Overture</t>
        </is>
      </c>
      <c r="C5" s="14" t="inlineStr">
        <is>
          <t>Matte PLA 1kg — Black / Red / Green / Blue shades</t>
        </is>
      </c>
      <c r="D5" s="23" t="n">
        <v>18.99</v>
      </c>
      <c r="E5" s="23" t="n">
        <v>23.99</v>
      </c>
      <c r="F5" s="14" t="inlineStr">
        <is>
          <t>Overture official store</t>
        </is>
      </c>
      <c r="G5" s="14" t="inlineStr">
        <is>
          <t>Per-colour prices added 2026-10-11 from Overture product page; plain Red sold out, Chocolate $16.99, Light Gray / White $18.69.</t>
        </is>
      </c>
    </row>
    <row r="6" ht="34" customHeight="1">
      <c r="A6" s="28" t="n">
        <v>46306</v>
      </c>
      <c r="B6" s="14" t="inlineStr">
        <is>
          <t>SUNLU</t>
        </is>
      </c>
      <c r="C6" s="14" t="inlineStr">
        <is>
          <t>Matte PLA 1kg — Matte White</t>
        </is>
      </c>
      <c r="D6" s="23" t="n">
        <v>10.99</v>
      </c>
      <c r="E6" s="23" t="n">
        <v>18.99</v>
      </c>
      <c r="F6" s="14" t="inlineStr">
        <is>
          <t>SUNLU official store</t>
        </is>
      </c>
      <c r="G6" s="14" t="inlineStr">
        <is>
          <t>Out of stock as a single spool; $10.99 also shown on a 6kg-minimum listing.</t>
        </is>
      </c>
    </row>
    <row r="7" ht="34" customHeight="1">
      <c r="A7" s="28" t="n">
        <v>46306</v>
      </c>
      <c r="B7" s="14" t="inlineStr">
        <is>
          <t>Elegoo</t>
        </is>
      </c>
      <c r="C7" s="14" t="inlineStr">
        <is>
          <t>Matte PLA 1kg — Matte White, 10-pack</t>
        </is>
      </c>
      <c r="D7" s="23" t="n">
        <v>115.99</v>
      </c>
      <c r="E7" s="23" t="n"/>
      <c r="F7" s="14" t="inlineStr">
        <is>
          <t>Elegoo (deal listing)</t>
        </is>
      </c>
      <c r="G7" s="14" t="inlineStr">
        <is>
          <t>Bundle: $115.99 / 10 = $11.60/spool. No single-spool US-store listing found.</t>
        </is>
      </c>
    </row>
    <row r="8" ht="34" customHeight="1">
      <c r="A8" s="28" t="n">
        <v>46306</v>
      </c>
      <c r="B8" s="14" t="inlineStr">
        <is>
          <t>Bambu Lab</t>
        </is>
      </c>
      <c r="C8" s="14" t="inlineStr">
        <is>
          <t>PLA Matte 1kg — all colours (refill)</t>
        </is>
      </c>
      <c r="D8" s="23" t="n">
        <v>19.99</v>
      </c>
      <c r="E8" s="23" t="n">
        <v>19.99</v>
      </c>
      <c r="F8" s="14" t="inlineStr">
        <is>
          <t>Bambu Lab US Store</t>
        </is>
      </c>
      <c r="G8" s="14" t="inlineStr">
        <is>
          <t>NEW brand added 2026-10-11. With spool $22.99. Colours include Ivory White, Charcoal, Ash Gray, Scarlet Red, Marine Blue, Grass Green, Latte Brown, Sakura Pink, Lemon Yellow, Mandarin Orange.</t>
        </is>
      </c>
    </row>
    <row r="9" ht="34" customHeight="1">
      <c r="A9" s="28" t="n">
        <v>46306</v>
      </c>
      <c r="B9" s="14" t="inlineStr">
        <is>
          <t>Creality</t>
        </is>
      </c>
      <c r="C9" s="14" t="inlineStr">
        <is>
          <t>CR-PLA Matte 1kg — Gypsum White / Black / Grey / Strawberry Red / Navy Blue / Avocado Green</t>
        </is>
      </c>
      <c r="D9" s="23" t="n"/>
      <c r="E9" s="23" t="n"/>
      <c r="F9" s="14" t="inlineStr">
        <is>
          <t>Creality / retailers</t>
        </is>
      </c>
      <c r="G9" s="14" t="inlineStr">
        <is>
          <t>NEW brand added 2026-10-11. Colours verified from retailer listings; US price not verified — CAD example $19.99 at Canada Computers.</t>
        </is>
      </c>
    </row>
    <row r="10" ht="34" customHeight="1">
      <c r="A10" s="28" t="n">
        <v>46306</v>
      </c>
      <c r="B10" s="14" t="inlineStr">
        <is>
          <t>SUNLU</t>
        </is>
      </c>
      <c r="C10" s="14" t="inlineStr">
        <is>
          <t>PLA+ 1kg — colour range (from price)</t>
        </is>
      </c>
      <c r="D10" s="23" t="n">
        <v>10.69</v>
      </c>
      <c r="E10" s="23" t="n">
        <v>18.99</v>
      </c>
      <c r="F10" s="14" t="inlineStr">
        <is>
          <t>SUNLU official store</t>
        </is>
      </c>
      <c r="G10" s="14" t="inlineStr">
        <is>
          <t>NEW type added 2026-10-11. PLA+ 2.0 from $10.99 on the same collection page.</t>
        </is>
      </c>
    </row>
    <row r="11" ht="34" customHeight="1">
      <c r="A11" s="28" t="n">
        <v>46306</v>
      </c>
      <c r="B11" s="14" t="inlineStr">
        <is>
          <t>SUNLU</t>
        </is>
      </c>
      <c r="C11" s="14" t="inlineStr">
        <is>
          <t>SILK PLA+ 2.0 1kg</t>
        </is>
      </c>
      <c r="D11" s="23" t="n">
        <v>14.99</v>
      </c>
      <c r="E11" s="23" t="n"/>
      <c r="F11" s="14" t="inlineStr">
        <is>
          <t>SUNLU official store</t>
        </is>
      </c>
      <c r="G11" s="14" t="inlineStr">
        <is>
          <t>NEW type added 2026-10-11. Some variants $15.99.</t>
        </is>
      </c>
    </row>
    <row r="12" ht="34" customHeight="1">
      <c r="A12" s="28" t="n">
        <v>46306</v>
      </c>
      <c r="B12" s="14" t="inlineStr">
        <is>
          <t>SUNLU</t>
        </is>
      </c>
      <c r="C12" s="14" t="inlineStr">
        <is>
          <t>Regular PLA 1kg — colour range (from price)</t>
        </is>
      </c>
      <c r="D12" s="23" t="n">
        <v>10.59</v>
      </c>
      <c r="E12" s="23" t="n">
        <v>18.99</v>
      </c>
      <c r="F12" s="14" t="inlineStr">
        <is>
          <t>SUNLU official store</t>
        </is>
      </c>
      <c r="G12" s="14" t="inlineStr">
        <is>
          <t>NEW type added 2026-10-11.</t>
        </is>
      </c>
    </row>
    <row r="13" ht="34" customHeight="1">
      <c r="A13" s="28" t="n">
        <v>46306</v>
      </c>
      <c r="B13" s="14" t="inlineStr">
        <is>
          <t>SUNLU</t>
        </is>
      </c>
      <c r="C13" s="14" t="inlineStr">
        <is>
          <t>PETG 1kg — colour range (from price)</t>
        </is>
      </c>
      <c r="D13" s="23" t="n">
        <v>10.49</v>
      </c>
      <c r="E13" s="23" t="n">
        <v>18.99</v>
      </c>
      <c r="F13" s="14" t="inlineStr">
        <is>
          <t>SUNLU official store</t>
        </is>
      </c>
      <c r="G13" s="14" t="inlineStr">
        <is>
          <t>NEW type added 2026-10-11. Watch minimum-order listings.</t>
        </is>
      </c>
    </row>
    <row r="14" ht="34" customHeight="1">
      <c r="A14" s="28" t="n">
        <v>46306</v>
      </c>
      <c r="B14" s="14" t="inlineStr">
        <is>
          <t>SUNLU</t>
        </is>
      </c>
      <c r="C14" s="14" t="inlineStr">
        <is>
          <t>ABS 1kg</t>
        </is>
      </c>
      <c r="D14" s="23" t="n">
        <v>11.99</v>
      </c>
      <c r="E14" s="23" t="n">
        <v>19.99</v>
      </c>
      <c r="F14" s="14" t="inlineStr">
        <is>
          <t>SUNLU official store</t>
        </is>
      </c>
      <c r="G14" s="14" t="inlineStr">
        <is>
          <t>NEW type added 2026-10-11.</t>
        </is>
      </c>
    </row>
    <row r="15" ht="34" customHeight="1">
      <c r="A15" s="28" t="n">
        <v>46306</v>
      </c>
      <c r="B15" s="14" t="inlineStr">
        <is>
          <t>SUNLU</t>
        </is>
      </c>
      <c r="C15" s="14" t="inlineStr">
        <is>
          <t>TPU 95A/90A 1kg (MOQ 3kg listing, per roll)</t>
        </is>
      </c>
      <c r="D15" s="23" t="n">
        <v>14.99</v>
      </c>
      <c r="E15" s="23" t="n">
        <v>22.95</v>
      </c>
      <c r="F15" s="14" t="inlineStr">
        <is>
          <t>SUNLU official store</t>
        </is>
      </c>
      <c r="G15" s="14" t="inlineStr">
        <is>
          <t>NEW type added 2026-10-11. TPU-SILK single listing $17.99 vs $24.99.</t>
        </is>
      </c>
    </row>
    <row r="16" ht="34" customHeight="1">
      <c r="A16" s="28" t="n">
        <v>46306</v>
      </c>
      <c r="B16" s="14" t="inlineStr">
        <is>
          <t>Overture</t>
        </is>
      </c>
      <c r="C16" s="14" t="inlineStr">
        <is>
          <t>Regular PLA 1kg</t>
        </is>
      </c>
      <c r="D16" s="23" t="n">
        <v>16.99</v>
      </c>
      <c r="E16" s="23" t="n">
        <v>22.99</v>
      </c>
      <c r="F16" s="14" t="inlineStr">
        <is>
          <t>Overture official store</t>
        </is>
      </c>
      <c r="G16" s="14" t="inlineStr">
        <is>
          <t>NEW type added 2026-10-11 (price from 2026-10-09 watcher check of the product page).</t>
        </is>
      </c>
    </row>
    <row r="17" ht="34" customHeight="1">
      <c r="A17" s="28" t="n">
        <v>46306</v>
      </c>
      <c r="B17" s="14" t="inlineStr">
        <is>
          <t>Overture</t>
        </is>
      </c>
      <c r="C17" s="14" t="inlineStr">
        <is>
          <t>PLA+ 1kg — White (Amazon)</t>
        </is>
      </c>
      <c r="D17" s="23" t="n">
        <v>15.21</v>
      </c>
      <c r="E17" s="23" t="n">
        <v>18.99</v>
      </c>
      <c r="F17" s="14" t="inlineStr">
        <is>
          <t>Amazon</t>
        </is>
      </c>
      <c r="G17" s="14" t="inlineStr">
        <is>
          <t>NEW type added 2026-10-11. Black one-time $15.99.</t>
        </is>
      </c>
    </row>
    <row r="18" ht="34" customHeight="1">
      <c r="A18" s="28" t="n">
        <v>46306</v>
      </c>
      <c r="B18" s="14" t="inlineStr">
        <is>
          <t>Overture</t>
        </is>
      </c>
      <c r="C18" s="14" t="inlineStr">
        <is>
          <t>PETG 1kg</t>
        </is>
      </c>
      <c r="D18" s="23" t="n">
        <v>14.99</v>
      </c>
      <c r="E18" s="23" t="n">
        <v>22.99</v>
      </c>
      <c r="F18" s="14" t="inlineStr">
        <is>
          <t>Overture official store</t>
        </is>
      </c>
      <c r="G18" s="14" t="inlineStr">
        <is>
          <t>NEW type added 2026-10-11. 561 in stock in the check.</t>
        </is>
      </c>
    </row>
    <row r="19" ht="34" customHeight="1">
      <c r="A19" s="28" t="n">
        <v>46306</v>
      </c>
      <c r="B19" s="14" t="inlineStr">
        <is>
          <t>Overture</t>
        </is>
      </c>
      <c r="C19" s="14" t="inlineStr">
        <is>
          <t>High Speed TPU 95A 1kg</t>
        </is>
      </c>
      <c r="D19" s="23" t="n">
        <v>24.99</v>
      </c>
      <c r="E19" s="23" t="n">
        <v>34.99</v>
      </c>
      <c r="F19" s="14" t="inlineStr">
        <is>
          <t>Overture official store</t>
        </is>
      </c>
      <c r="G19" s="14" t="inlineStr">
        <is>
          <t>NEW type added 2026-10-11. 83 in stock; not AMS-compatible.</t>
        </is>
      </c>
    </row>
    <row r="20" ht="34" customHeight="1">
      <c r="A20" s="28" t="n">
        <v>46306</v>
      </c>
      <c r="B20" s="14" t="inlineStr">
        <is>
          <t>Overture</t>
        </is>
      </c>
      <c r="C20" s="14" t="inlineStr">
        <is>
          <t>ASA 1kg — Black</t>
        </is>
      </c>
      <c r="D20" s="23" t="n">
        <v>19.99</v>
      </c>
      <c r="E20" s="23" t="n"/>
      <c r="F20" s="14" t="inlineStr">
        <is>
          <t>Overture official store</t>
        </is>
      </c>
      <c r="G20" s="14" t="inlineStr">
        <is>
          <t>NEW type added 2026-10-11. Other ASA colours $24.99-$29.99.</t>
        </is>
      </c>
    </row>
    <row r="21" ht="34" customHeight="1">
      <c r="A21" s="28" t="n">
        <v>46306</v>
      </c>
      <c r="B21" s="14" t="inlineStr">
        <is>
          <t>Inland (Micro Center)</t>
        </is>
      </c>
      <c r="C21" s="14" t="inlineStr">
        <is>
          <t>PLA+ High-Speed 1kg — Black</t>
        </is>
      </c>
      <c r="D21" s="23" t="n">
        <v>17.99</v>
      </c>
      <c r="E21" s="23" t="n"/>
      <c r="F21" s="14" t="inlineStr">
        <is>
          <t>Micro Center</t>
        </is>
      </c>
      <c r="G21" s="14" t="inlineStr">
        <is>
          <t>NEW type added 2026-10-11. In stock. PLA+ Luminous Green $13.99.</t>
        </is>
      </c>
    </row>
    <row r="22" ht="34" customHeight="1">
      <c r="A22" s="28" t="n">
        <v>46306</v>
      </c>
      <c r="B22" s="14" t="inlineStr">
        <is>
          <t>Inland (Micro Center)</t>
        </is>
      </c>
      <c r="C22" s="14" t="inlineStr">
        <is>
          <t>Silk PLA 1kg — Silk Gold</t>
        </is>
      </c>
      <c r="D22" s="23" t="n">
        <v>15.99</v>
      </c>
      <c r="E22" s="23" t="n"/>
      <c r="F22" s="14" t="inlineStr">
        <is>
          <t>Micro Center</t>
        </is>
      </c>
      <c r="G22" s="14" t="inlineStr">
        <is>
          <t>NEW type added 2026-10-11. In stock. Silk Cyan $17.99.</t>
        </is>
      </c>
    </row>
    <row r="23" ht="34" customHeight="1">
      <c r="A23" s="28" t="n">
        <v>46306</v>
      </c>
      <c r="B23" s="14" t="inlineStr">
        <is>
          <t>Inland (Micro Center)</t>
        </is>
      </c>
      <c r="C23" s="14" t="inlineStr">
        <is>
          <t>PETG 1kg — Green</t>
        </is>
      </c>
      <c r="D23" s="23" t="n">
        <v>14.99</v>
      </c>
      <c r="E23" s="23" t="n"/>
      <c r="F23" s="14" t="inlineStr">
        <is>
          <t>Micro Center</t>
        </is>
      </c>
      <c r="G23" s="14" t="inlineStr">
        <is>
          <t>NEW type added 2026-10-11. In stock.</t>
        </is>
      </c>
    </row>
    <row r="24" ht="34" customHeight="1">
      <c r="A24" s="28" t="n">
        <v>46306</v>
      </c>
      <c r="B24" s="14" t="inlineStr">
        <is>
          <t>Elegoo</t>
        </is>
      </c>
      <c r="C24" s="14" t="inlineStr">
        <is>
          <t>Regular PLA 1kg — Black (Amazon)</t>
        </is>
      </c>
      <c r="D24" s="23" t="n">
        <v>13.99</v>
      </c>
      <c r="E24" s="23" t="n"/>
      <c r="F24" s="14" t="inlineStr">
        <is>
          <t>Amazon</t>
        </is>
      </c>
      <c r="G24" s="14" t="inlineStr">
        <is>
          <t>NEW type added 2026-10-11. PLA+ White $14.99 and Rapid PLA+ White $14.44 vs $16.99 in retailer listings.</t>
        </is>
      </c>
    </row>
    <row r="25" ht="34" customHeight="1">
      <c r="A25" s="28" t="n">
        <v>46306</v>
      </c>
      <c r="B25" s="14" t="inlineStr">
        <is>
          <t>Bambu Lab</t>
        </is>
      </c>
      <c r="C25" s="14" t="inlineStr">
        <is>
          <t>PLA Basic 1kg — Refill (regular PLA)</t>
        </is>
      </c>
      <c r="D25" s="23" t="n">
        <v>19.99</v>
      </c>
      <c r="E25" s="23" t="n">
        <v>19.99</v>
      </c>
      <c r="F25" s="14" t="inlineStr">
        <is>
          <t>Bambu Lab US Store</t>
        </is>
      </c>
      <c r="G25" s="14" t="inlineStr">
        <is>
          <t>NEW type added 2026-10-11. With spool $22.99. PLA Silk+ / Silk Multi-Color $24.99; specialty PLA family $24.99; PLA-CF / PETG-CF from $31.99.</t>
        </is>
      </c>
    </row>
    <row r="26" ht="34" customHeight="1">
      <c r="A26" s="28" t="n">
        <v>46306</v>
      </c>
      <c r="B26" s="14" t="inlineStr">
        <is>
          <t>Bambu Lab</t>
        </is>
      </c>
      <c r="C26" s="14" t="inlineStr">
        <is>
          <t>PETG HF 1kg — Refill</t>
        </is>
      </c>
      <c r="D26" s="23" t="n">
        <v>19.99</v>
      </c>
      <c r="E26" s="23" t="n">
        <v>19.99</v>
      </c>
      <c r="F26" s="14" t="inlineStr">
        <is>
          <t>Bambu Lab US Store</t>
        </is>
      </c>
      <c r="G26" s="14" t="inlineStr">
        <is>
          <t>NEW type added 2026-10-11. With spool $22.99.</t>
        </is>
      </c>
    </row>
    <row r="27" ht="34" customHeight="1">
      <c r="A27" s="28" t="n">
        <v>46306</v>
      </c>
      <c r="B27" s="14" t="inlineStr">
        <is>
          <t>Bambu Lab</t>
        </is>
      </c>
      <c r="C27" s="14" t="inlineStr">
        <is>
          <t>ABS 1kg — Refill / ASA 1kg / TPU 95A HF 1kg</t>
        </is>
      </c>
      <c r="D27" s="23" t="n">
        <v>19.99</v>
      </c>
      <c r="E27" s="23" t="n"/>
      <c r="F27" s="14" t="inlineStr">
        <is>
          <t>Bambu Lab US Store</t>
        </is>
      </c>
      <c r="G27" s="14" t="inlineStr">
        <is>
          <t>NEW types added 2026-10-11. ABS refill $19.99 (with spool $22.99); ASA $29.99; TPU 95A HF $41.99.</t>
        </is>
      </c>
    </row>
    <row r="28" ht="34" customHeight="1">
      <c r="A28" s="28" t="n">
        <v>46306</v>
      </c>
      <c r="B28" s="14" t="inlineStr">
        <is>
          <t>Creality</t>
        </is>
      </c>
      <c r="C28" s="14" t="inlineStr">
        <is>
          <t>Ender PLA 1kg — White (regular)</t>
        </is>
      </c>
      <c r="D28" s="23" t="n">
        <v>13.29</v>
      </c>
      <c r="E28" s="23" t="n"/>
      <c r="F28" s="14" t="inlineStr">
        <is>
          <t>B&amp;H (retailer)</t>
        </is>
      </c>
      <c r="G28" s="14" t="inlineStr">
        <is>
          <t>NEW type added 2026-10-11. In stock.</t>
        </is>
      </c>
    </row>
    <row r="29" ht="34" customHeight="1">
      <c r="A29" s="28" t="n">
        <v>46306</v>
      </c>
      <c r="B29" s="14" t="inlineStr">
        <is>
          <t>Creality</t>
        </is>
      </c>
      <c r="C29" s="14" t="inlineStr">
        <is>
          <t>Hyper PLA 1kg (high-speed regular)</t>
        </is>
      </c>
      <c r="D29" s="23" t="n">
        <v>19.99</v>
      </c>
      <c r="E29" s="23" t="n">
        <v>32.99</v>
      </c>
      <c r="F29" s="14" t="inlineStr">
        <is>
          <t>Creality official store</t>
        </is>
      </c>
      <c r="G29" s="14" t="inlineStr">
        <is>
          <t>NEW type added 2026-10-11. White sold out there at the check; bulk tiers $16.99 (x5) / $15.99 (x10) / $14.99 (x20).</t>
        </is>
      </c>
    </row>
  </sheetData>
  <mergeCells count="1">
    <mergeCell ref="A1:G1"/>
  </mergeCells>
  <pageMargins left="0.75" right="0.75" top="1" bottom="1" header="0.5" footer="0.5"/>
  <pageSetup orientation="landscape" fitToHeight="0" fitToWidth="1"/>
</worksheet>
</file>

<file path=xl/worksheets/sheet11.xml><?xml version="1.0" encoding="utf-8"?>
<worksheet xmlns="http://schemas.openxmlformats.org/spreadsheetml/2006/main">
  <sheetPr>
    <tabColor rgb="00A6A6A6"/>
    <outlinePr summaryBelow="1" summaryRight="1"/>
    <pageSetUpPr fitToPage="1"/>
  </sheetPr>
  <dimension ref="A1:B19"/>
  <sheetViews>
    <sheetView zoomScale="85" workbookViewId="0">
      <selection activeCell="A1" sqref="A1"/>
    </sheetView>
  </sheetViews>
  <sheetFormatPr baseColWidth="8" defaultRowHeight="15"/>
  <cols>
    <col width="28" customWidth="1" min="1" max="1"/>
    <col width="100" customWidth="1" min="2" max="2"/>
  </cols>
  <sheetData>
    <row r="1">
      <c r="A1" s="21" t="inlineStr">
        <is>
          <t>How to Use &amp; Sources</t>
        </is>
      </c>
    </row>
    <row r="2"/>
    <row r="3" ht="58" customHeight="1">
      <c r="A3" s="6" t="inlineStr">
        <is>
          <t>Scope</t>
        </is>
      </c>
      <c r="B3" s="7" t="inlineStr">
        <is>
          <t>Matte PLA (all colours, as sections on the single Matte PLA sheet) PLUS 7 type tabs: PLA+, Silk, Regular, TPU, PETG, ABS-ASA, Specialty. 1.75mm, 1kg spools unless Notes say otherwise. Brands (6) on every sheet: Inland, Overture, SUNLU, Elegoo, Bambu Lab, Creality.</t>
        </is>
      </c>
    </row>
    <row r="4" ht="58" customHeight="1">
      <c r="A4" s="6" t="inlineStr">
        <is>
          <t>Tabs</t>
        </is>
      </c>
      <c r="B4" s="7" t="inlineStr">
        <is>
          <t>11 tabs total, with short names so the tab bar fits the screen: Overview (with click-to-jump links), Matte PLA, PLA+, Silk, Regular, TPU, PETG, ABS-ASA, Specialty, History, How to Use.</t>
        </is>
      </c>
    </row>
    <row r="5" ht="58" customHeight="1">
      <c r="A5" s="6" t="inlineStr">
        <is>
          <t>Legend</t>
        </is>
      </c>
      <c r="B5" s="7" t="inlineStr">
        <is>
          <t>Prices/stock are updated by the Friday watcher. Savings is one formula column showing $ and % together. The source for each row is the short 'Open' link. Green Where/Stock = in stock at check; pink = out of stock. NEW columns (before Notes): Shipping $ (editable, starts at $0), Spools, Delivered / spool (formula), Buy at / under threshold (editable), and Deal? (formula — green ★ BUY NOW when Delivered / spool is at or under the threshold and the row is in stock). Every row was checked 2026-10-11 — that date sits in each sheet's subtitle instead of taking its own column.</t>
        </is>
      </c>
    </row>
    <row r="6" ht="58" customHeight="1">
      <c r="A6" s="6" t="inlineStr">
        <is>
          <t>Example row</t>
        </is>
      </c>
      <c r="B6" s="7" t="inlineStr">
        <is>
          <t>Inland | Matte PLA 1kg | Matte White | $13.99 | Micro Center | In stock | 2026-10-11 — read across: what it is, its exact shade name, what it costs, where, and whether you can buy it.</t>
        </is>
      </c>
    </row>
    <row r="7" ht="58" customHeight="1">
      <c r="A7" s="6" t="inlineStr">
        <is>
          <t>Shade names matter</t>
        </is>
      </c>
      <c r="B7" s="7" t="inlineStr">
        <is>
          <t>The same colour has different names per brand: White = Inland Matte White / Bambu Ivory White / Creality Gypsum White; Black = Bambu Charcoal / Creality Matte Black; Grey = Overture Light Gray / Elegoo Slate Grey / Bambu Ash Gray. The Colour / Shade column always uses the brand's own name.</t>
        </is>
      </c>
    </row>
    <row r="8" ht="58" customHeight="1">
      <c r="A8" s="6" t="inlineStr">
        <is>
          <t>Refills (Bambu)</t>
        </is>
      </c>
      <c r="B8" s="7" t="inlineStr">
        <is>
          <t>Bambu PLA Matte refill ($19.99) needs a Bambu reusable spool; with-spool is $22.99. Both prices are shown on the White tab and noted on every other colour tab.</t>
        </is>
      </c>
    </row>
    <row r="9" ht="58" customHeight="1">
      <c r="A9" s="6" t="inlineStr">
        <is>
          <t>Bundles</t>
        </is>
      </c>
      <c r="B9" s="7" t="inlineStr">
        <is>
          <t>Bundle rows keep the full bundle price in Current Price and state per-spool maths in Notes, so a 10-pack never looks like a $115 single spool.</t>
        </is>
      </c>
    </row>
    <row r="10" ht="58" customHeight="1">
      <c r="A10" s="6" t="inlineStr">
        <is>
          <t>Known gaps (2026-10-11)</t>
        </is>
      </c>
      <c r="B10" s="7" t="inlineStr">
        <is>
          <t>Creality US single-spool prices not verified (CAD examples only) — blank on purpose. Elegoo and SUNLU single-spool prices for many colours are Amazon search-index only and labelled as such. Inland matte shades beyond White/Wood Brown are priced at the flat $13.99 line price — confirm the exact shade in store.</t>
        </is>
      </c>
    </row>
    <row r="11" ht="58" customHeight="1">
      <c r="A11" s="6" t="inlineStr">
        <is>
          <t>Sources used</t>
        </is>
      </c>
      <c r="B11" s="7" t="inlineStr">
        <is>
          <t>Overture product page (all colour variants); Bambu Lab US Store PLA Matte page; SUNLU store matte collection; Micro Center search + Wood Brown product page; Amazon listings for SUNLU/Elegoo/Inland; Canada Computers and Adorama for Creality CR-PLA Matte colours/prices. Clickable source for every row is the 'Open' link in the Link column of each data sheet.</t>
        </is>
      </c>
    </row>
    <row r="12" ht="58" customHeight="1">
      <c r="A12" s="6" t="inlineStr">
        <is>
          <t>Types covered</t>
        </is>
      </c>
      <c r="B12" s="7" t="inlineStr">
        <is>
          <t>Matte PLA (by colour) + PLA+, Silk PLA, Regular (standard/glossy) PLA, TPU, PETG, ABS, ASA, and Specialty &amp; Other: high-speed PLA, wood, marble, metallic, glow, gradient, sparkle and carbon-fibre-filled (PLA-CF / PETG-CF).</t>
        </is>
      </c>
    </row>
    <row r="13" ht="58" customHeight="1">
      <c r="A13" s="6" t="inlineStr">
        <is>
          <t>Type tabs vs colour tabs</t>
        </is>
      </c>
      <c r="B13" s="7" t="inlineStr">
        <is>
          <t>Matte colours are sections on the one Matte PLA sheet (White first, then Black, Grey, Red, Blue, Green, Brown &amp; Tan, Yellow &amp; Orange, Pink &amp; Purple). Type tabs = one row per brand + type in a representative colour; the full colour range is named in the row, not split out. Prices on type tabs are a 2026-10-11 snapshot until the Friday watcher is expanded (see Overview).</t>
        </is>
      </c>
    </row>
    <row r="14" ht="58" customHeight="1">
      <c r="A14" s="6" t="inlineStr">
        <is>
          <t>TPU on the P1S</t>
        </is>
      </c>
      <c r="B14" s="7" t="inlineStr">
        <is>
          <t>Most TPU is NOT AMS-compatible (Overture's own TPU page says so). Feed TPU directly/externally on the P1S unless the product is specifically 'TPU for AMS' (Bambu) — SUNLU's cheap TPU listing is a 3-roll minimum, noted on the TPU tab.</t>
        </is>
      </c>
    </row>
    <row r="15" ht="58" customHeight="1">
      <c r="A15" s="6" t="inlineStr">
        <is>
          <t>ABS / ASA on the P1S</t>
        </is>
      </c>
      <c r="B15" s="7" t="inlineStr">
        <is>
          <t>ABS and ASA need an enclosed, ventilated printer — the P1S is enclosed. Prices vary sharply by colour for ASA (Overture: $19.99 Black to $29.99 other shades).</t>
        </is>
      </c>
    </row>
    <row r="16" ht="58" customHeight="1">
      <c r="A16" s="6" t="inlineStr">
        <is>
          <t>Known gaps — types (2026-10-11)</t>
        </is>
      </c>
      <c r="B16" s="7" t="inlineStr">
        <is>
          <t>Creality US prices unverified for PLA+, Silk, TPU, PETG, ABS/ASA and specialty (blank, findings in Notes). Elegoo non-matte single-spool prices mostly unverified (its regular PLA, PLA+ and Rapid PLA+ ARE priced). Inland regular PLA, ABS/ASA, TPU and specialty prices unverified in this check. Bambu PLA Tough+ (its PLA+ equivalent) price not cleanly verified — blank.</t>
        </is>
      </c>
    </row>
    <row r="17" ht="74" customHeight="1">
      <c r="A17" s="6" t="inlineStr">
        <is>
          <t>Deal? flag &amp; thresholds</t>
        </is>
      </c>
      <c r="B17" s="7" t="inlineStr">
        <is>
          <t>Deal? is a formula, not typed text: ★ BUY NOW (highlighted green) when Delivered / spool &lt;= Buy at / under, '—' when above it, and '— (out of stock)' when Where to Buy / Stock says Out of stock — a cheap out-of-stock spool never flags. Thresholds are per-spool starting defaults by type + brand (Matte: Inland $15, SUNLU $15, Elegoo $14, Overture $19, Bambu Lab $20, Creality $16; PLA+ SUNLU $13; Silk SUNLU $15; Regular SUNLU $13; TPU SUNLU $18 / Overture $25; PETG SUNLU $13; ABS-ASA SUNLU $14; Specialty $20–$25). They are Scott's buy prices, not store data — edit a threshold cell any time and that row's flag updates.</t>
        </is>
      </c>
    </row>
    <row r="18" ht="74" customHeight="1">
      <c r="A18" s="6" t="inlineStr">
        <is>
          <t>Delivered / spool &amp; Shipping $</t>
        </is>
      </c>
      <c r="B18" s="7" t="inlineStr">
        <is>
          <t>Delivered / spool = (Price ($) + Shipping ($)) / Spools. Shipping $ starts at $0 on every row: Micro Center rows are in-store pickup and Amazon rows assume Prime / free shipping. It is an input for the calculator, NOT a verified shipping quote — brand stores may charge shipping under their free-shipping minimums. Before ordering, put the shipping the checkout actually shows into that row's Shipping $ cell; Delivered / spool and Deal? recalculate on the true total.</t>
        </is>
      </c>
    </row>
    <row r="19" ht="74" customHeight="1">
      <c r="A19" s="6" t="inlineStr">
        <is>
          <t>Spools (bundles)</t>
        </is>
      </c>
      <c r="B19" s="7" t="inlineStr">
        <is>
          <t>Spools = how many 1kg spools the listed Price ($) buys. It is 1 everywhere except true bundle listings, whose Price is the bundle total: Elegoo Matte White 4-pack (4), Elegoo Matte 10-pack (10), Elegoo Black &amp; Slate Gray 2-pack (2). That is what makes their Delivered / spool ($11.87, $11.60, $12.82) comparable with single spools. Listings whose price is already per-roll but carry a minimum order (e.g. SUNLU TPU, 3-roll minimum) stay at Spools = 1 because their Price is already per spool — the minimum is flagged in Notes.</t>
        </is>
      </c>
    </row>
  </sheetData>
  <mergeCells count="1">
    <mergeCell ref="A1:B1"/>
  </mergeCells>
  <pageMargins left="0.75" right="0.75" top="1" bottom="1" header="0.5" footer="0.5"/>
  <pageSetup fitToWidth="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OnBrandCraftz</dc:creator>
  <dc:title xmlns:dc="http://purl.org/dc/elements/1.1/">Filament Pricing</dc:title>
  <dcterms:created xmlns:dcterms="http://purl.org/dc/terms/" xmlns:xsi="http://www.w3.org/2001/XMLSchema-instance" xsi:type="dcterms:W3CDTF">2026-10-11T22:48:36Z</dcterms:created>
  <dcterms:modified xmlns:dcterms="http://purl.org/dc/terms/" xmlns:xsi="http://www.w3.org/2001/XMLSchema-instance" xsi:type="dcterms:W3CDTF">2026-10-11T22:52:17+00:00Z</dcterms:modified>
</cp:coreProperties>
</file>