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Inventory" sheetId="2" state="visible" r:id="rId2"/>
    <sheet xmlns:r="http://schemas.openxmlformats.org/officeDocument/2006/relationships" name="Summary" sheetId="3" state="visible" r:id="rId3"/>
    <sheet xmlns:r="http://schemas.openxmlformats.org/officeDocument/2006/relationships" name="How to Use" sheetId="4" state="visible" r:id="rId4"/>
  </sheets>
  <definedNames>
    <definedName name="_xlnm._FilterDatabase" localSheetId="1" hidden="1">'Inventory'!$A$3:$L$3</definedName>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name val="Calibri"/>
      <b val="1"/>
      <color rgb="001F3864"/>
      <sz val="16"/>
    </font>
    <font>
      <name val="Calibri"/>
      <i val="1"/>
      <color rgb="00404040"/>
      <sz val="10"/>
    </font>
    <font>
      <name val="Calibri"/>
      <b val="1"/>
      <color rgb="00FFFFFF"/>
      <sz val="10"/>
    </font>
    <font>
      <name val="Calibri"/>
      <sz val="10"/>
    </font>
    <font>
      <name val="Calibri"/>
      <b val="1"/>
      <sz val="10"/>
    </font>
  </fonts>
  <fills count="5">
    <fill>
      <patternFill/>
    </fill>
    <fill>
      <patternFill patternType="gray125"/>
    </fill>
    <fill>
      <patternFill patternType="solid">
        <fgColor rgb="001F3864"/>
      </patternFill>
    </fill>
    <fill>
      <patternFill patternType="solid">
        <fgColor rgb="00FFF2CC"/>
      </patternFill>
    </fill>
    <fill>
      <patternFill patternType="solid">
        <fgColor rgb="00D9E2F3"/>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21">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wrapText="1"/>
    </xf>
    <xf numFmtId="0" fontId="3" fillId="2" borderId="1" applyAlignment="1" pivotButton="0" quotePrefix="0" xfId="0">
      <alignment horizontal="center" vertical="center" wrapText="1"/>
    </xf>
    <xf numFmtId="0" fontId="5" fillId="0" borderId="1" applyAlignment="1" pivotButton="0" quotePrefix="0" xfId="0">
      <alignment vertical="center"/>
    </xf>
    <xf numFmtId="0" fontId="4" fillId="0" borderId="1" applyAlignment="1" pivotButton="0" quotePrefix="0" xfId="0">
      <alignment horizontal="center" vertical="center"/>
    </xf>
    <xf numFmtId="0" fontId="4" fillId="0" borderId="1" applyAlignment="1" pivotButton="0" quotePrefix="0" xfId="0">
      <alignment vertical="center" wrapText="1"/>
    </xf>
    <xf numFmtId="2" fontId="4" fillId="0" borderId="1" applyAlignment="1" pivotButton="0" quotePrefix="0" xfId="0">
      <alignment horizontal="center" vertical="center"/>
    </xf>
    <xf numFmtId="0" fontId="5" fillId="4" borderId="1" pivotButton="0" quotePrefix="0" xfId="0"/>
    <xf numFmtId="0" fontId="4" fillId="0" borderId="1" applyAlignment="1" pivotButton="0" quotePrefix="0" xfId="0">
      <alignment vertical="top" wrapText="1"/>
    </xf>
    <xf numFmtId="0" fontId="4" fillId="3" borderId="1" applyAlignment="1" pivotButton="0" quotePrefix="0" xfId="0">
      <alignment vertical="center"/>
    </xf>
    <xf numFmtId="0" fontId="4" fillId="3" borderId="1" applyAlignment="1" pivotButton="0" quotePrefix="0" xfId="0">
      <alignment vertical="center" wrapText="1"/>
    </xf>
    <xf numFmtId="2" fontId="4" fillId="3" borderId="1" applyAlignment="1" pivotButton="0" quotePrefix="0" xfId="0">
      <alignment vertical="center"/>
    </xf>
    <xf numFmtId="9" fontId="4" fillId="3" borderId="1" applyAlignment="1" pivotButton="0" quotePrefix="0" xfId="0">
      <alignment vertical="center"/>
    </xf>
    <xf numFmtId="2" fontId="4" fillId="0" borderId="1" applyAlignment="1" pivotButton="0" quotePrefix="0" xfId="0">
      <alignment vertical="center"/>
    </xf>
    <xf numFmtId="164" fontId="4" fillId="3" borderId="1" applyAlignment="1" pivotButton="0" quotePrefix="0" xfId="0">
      <alignment vertical="center"/>
    </xf>
    <xf numFmtId="0" fontId="4" fillId="0" borderId="1" pivotButton="0" quotePrefix="0" xfId="0"/>
    <xf numFmtId="0" fontId="4" fillId="0" borderId="1" applyAlignment="1" pivotButton="0" quotePrefix="0" xfId="0">
      <alignment horizontal="center"/>
    </xf>
    <xf numFmtId="2" fontId="4" fillId="0" borderId="1" applyAlignment="1" pivotButton="0" quotePrefix="0" xfId="0">
      <alignment horizontal="center"/>
    </xf>
    <xf numFmtId="0" fontId="2" fillId="0" borderId="0" pivotButton="0" quotePrefix="0" xfId="0"/>
    <xf numFmtId="0" fontId="5" fillId="0" borderId="1" applyAlignment="1" pivotButton="0" quotePrefix="0" xfId="0">
      <alignment vertical="top" wrapText="1"/>
    </xf>
  </cellXfs>
  <cellStyles count="1">
    <cellStyle name="Normal" xfId="0" builtinId="0" hidden="0"/>
  </cellStyles>
  <dxfs count="2">
    <dxf>
      <font>
        <name val="Calibri"/>
        <color rgb="009C0006"/>
        <sz val="10"/>
      </font>
      <fill>
        <patternFill patternType="solid">
          <fgColor rgb="00FFC7CE"/>
        </patternFill>
      </fill>
    </dxf>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14"/>
  <sheetViews>
    <sheetView workbookViewId="0">
      <pane ySplit="3" topLeftCell="A4" activePane="bottomLeft" state="frozen"/>
      <selection pane="bottomLeft" activeCell="A1" sqref="A1"/>
    </sheetView>
  </sheetViews>
  <sheetFormatPr baseColWidth="8" defaultRowHeight="15"/>
  <cols>
    <col width="26" customWidth="1" min="1" max="1"/>
    <col width="12" customWidth="1" min="2" max="2"/>
    <col width="62" customWidth="1" min="3" max="3"/>
  </cols>
  <sheetData>
    <row r="1" ht="26" customHeight="1">
      <c r="A1" s="1" t="inlineStr">
        <is>
          <t>Filament Inventory — Overview</t>
        </is>
      </c>
    </row>
    <row r="2" ht="42" customHeight="1">
      <c r="A2" s="2" t="inlineStr">
        <is>
          <t>What filament is on hand, at a glance. Every count below is a live formula over the Inventory tab, so it updates the moment a spool is logged from a photo. Prices and buy thresholds live in the separate Filament Pricing sheet — this one is stock only.</t>
        </is>
      </c>
    </row>
    <row r="3" ht="30" customHeight="1">
      <c r="A3" s="3" t="inlineStr">
        <is>
          <t>Metric</t>
        </is>
      </c>
      <c r="B3" s="3" t="inlineStr">
        <is>
          <t>Count</t>
        </is>
      </c>
      <c r="C3" s="3" t="inlineStr">
        <is>
          <t>What it means</t>
        </is>
      </c>
    </row>
    <row r="4" ht="28" customHeight="1">
      <c r="A4" s="4" t="inlineStr">
        <is>
          <t>Spools logged</t>
        </is>
      </c>
      <c r="B4" s="5" t="n">
        <f>COUNTA(Inventory!$B$4:$B$63)</f>
        <v>0</v>
      </c>
      <c r="C4" s="6" t="inlineStr">
        <is>
          <t>Total spools with a row in Inventory. 0 until the first photos are logged.</t>
        </is>
      </c>
    </row>
    <row r="5" ht="28" customHeight="1">
      <c r="A5" s="4" t="inlineStr">
        <is>
          <t>Est. filament on hand (kg)</t>
        </is>
      </c>
      <c r="B5" s="7" t="n">
        <f>SUM(Inventory!$G$4:$G$63)</f>
        <v>0</v>
      </c>
      <c r="C5" s="6" t="inlineStr">
        <is>
          <t>Sum of Est. left (kg) = Size x Remaining for every logged spool.</t>
        </is>
      </c>
    </row>
    <row r="6" ht="28" customHeight="1">
      <c r="A6" s="4" t="inlineStr">
        <is>
          <t>Sealed</t>
        </is>
      </c>
      <c r="B6" s="5" t="n">
        <f>COUNTIF(Inventory!$H$4:$H$63,"Sealed")</f>
        <v>0</v>
      </c>
      <c r="C6" s="6" t="inlineStr">
        <is>
          <t>Unopened spools.</t>
        </is>
      </c>
    </row>
    <row r="7" ht="28" customHeight="1">
      <c r="A7" s="4" t="inlineStr">
        <is>
          <t>Open - stored</t>
        </is>
      </c>
      <c r="B7" s="5" t="n">
        <f>COUNTIF(Inventory!$H$4:$H$63,"Open - stored")</f>
        <v>0</v>
      </c>
      <c r="C7" s="6" t="inlineStr">
        <is>
          <t>Opened spools put away (shelf, bin, dryer box).</t>
        </is>
      </c>
    </row>
    <row r="8" ht="28" customHeight="1">
      <c r="A8" s="4" t="inlineStr">
        <is>
          <t>Open - in use</t>
        </is>
      </c>
      <c r="B8" s="5" t="n">
        <f>COUNTIF(Inventory!$H$4:$H$63,"Open - in use")</f>
        <v>0</v>
      </c>
      <c r="C8" s="6" t="inlineStr">
        <is>
          <t>On the printer, in the AMS, or in the dryer right now.</t>
        </is>
      </c>
    </row>
    <row r="9" ht="28" customHeight="1">
      <c r="A9" s="4" t="inlineStr">
        <is>
          <t>Low</t>
        </is>
      </c>
      <c r="B9" s="5" t="n">
        <f>COUNTIF(Inventory!$H$4:$H$63,"Low")</f>
        <v>0</v>
      </c>
      <c r="C9" s="6" t="inlineStr">
        <is>
          <t>Running low — check the Filament Pricing sheet's Deal? flags before reordering.</t>
        </is>
      </c>
    </row>
    <row r="10" ht="28" customHeight="1">
      <c r="A10" s="4" t="inlineStr">
        <is>
          <t>Empty</t>
        </is>
      </c>
      <c r="B10" s="5" t="n">
        <f>COUNTIF(Inventory!$H$4:$H$63,"Empty")</f>
        <v>0</v>
      </c>
      <c r="C10" s="6" t="inlineStr">
        <is>
          <t>Finished spools. Kept in the log so usage history isn't lost; delete the row if you prefer a clean count.</t>
        </is>
      </c>
    </row>
    <row r="12">
      <c r="A12" s="8" t="inlineStr">
        <is>
          <t>Next step</t>
        </is>
      </c>
    </row>
    <row r="13" ht="30" customHeight="1">
      <c r="A13" s="9" t="inlineStr">
        <is>
          <t>Take a photo of each spool — label facing the camera and the whole spool in frame so the remaining amount can be estimated — and send them over. Each one gets categorised and added as a row in Inventory, the Summary tab breaks the stock down by brand, type and colour, and these counts fill in automatically. One spool per photo is cleanest; a group shot works if every label is readable.</t>
        </is>
      </c>
    </row>
    <row r="14" ht="30" customHeight="1"/>
  </sheetData>
  <mergeCells count="4">
    <mergeCell ref="A1:C1"/>
    <mergeCell ref="A13:C14"/>
    <mergeCell ref="A2:C2"/>
    <mergeCell ref="A12:C1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L63"/>
  <sheetViews>
    <sheetView workbookViewId="0">
      <pane ySplit="3" topLeftCell="A4" activePane="bottomLeft" state="frozen"/>
      <selection pane="bottomLeft" activeCell="A1" sqref="A1"/>
    </sheetView>
  </sheetViews>
  <sheetFormatPr baseColWidth="8" defaultRowHeight="15"/>
  <cols>
    <col width="6" customWidth="1" min="1" max="1"/>
    <col width="16" customWidth="1" min="2" max="2"/>
    <col width="12" customWidth="1" min="3" max="3"/>
    <col width="16" customWidth="1" min="4" max="4"/>
    <col width="9" customWidth="1" min="5" max="5"/>
    <col width="11" customWidth="1" min="6" max="6"/>
    <col width="11" customWidth="1" min="7" max="7"/>
    <col width="14" customWidth="1" min="8" max="8"/>
    <col width="14" customWidth="1" min="9" max="9"/>
    <col width="12" customWidth="1" min="10" max="10"/>
    <col width="16" customWidth="1" min="11" max="11"/>
    <col width="30" customWidth="1" min="12" max="12"/>
  </cols>
  <sheetData>
    <row r="1" ht="26" customHeight="1">
      <c r="A1" s="1" t="inlineStr">
        <is>
          <t>Filament Inventory — Spool Log</t>
        </is>
      </c>
    </row>
    <row r="2" ht="42" customHeight="1">
      <c r="A2" s="2" t="inlineStr">
        <is>
          <t>One row per spool. Send a photo of each spool and it gets logged here from the label: brand, type and colour are read off the spool, Remaining is estimated from how full it looks, and the photo filename goes in Photo ref so any row can be traced back to its picture. Starts empty — nothing is listed until the first photos arrive.</t>
        </is>
      </c>
    </row>
    <row r="3" ht="30" customHeight="1">
      <c r="A3" s="3" t="inlineStr">
        <is>
          <t>#</t>
        </is>
      </c>
      <c r="B3" s="3" t="inlineStr">
        <is>
          <t>Brand</t>
        </is>
      </c>
      <c r="C3" s="3" t="inlineStr">
        <is>
          <t>Type</t>
        </is>
      </c>
      <c r="D3" s="3" t="inlineStr">
        <is>
          <t>Color</t>
        </is>
      </c>
      <c r="E3" s="3" t="inlineStr">
        <is>
          <t>Size (kg)</t>
        </is>
      </c>
      <c r="F3" s="3" t="inlineStr">
        <is>
          <t>Remaining (%)</t>
        </is>
      </c>
      <c r="G3" s="3" t="inlineStr">
        <is>
          <t>Est. left (kg)</t>
        </is>
      </c>
      <c r="H3" s="3" t="inlineStr">
        <is>
          <t>Status</t>
        </is>
      </c>
      <c r="I3" s="3" t="inlineStr">
        <is>
          <t>Location</t>
        </is>
      </c>
      <c r="J3" s="3" t="inlineStr">
        <is>
          <t>Date logged</t>
        </is>
      </c>
      <c r="K3" s="3" t="inlineStr">
        <is>
          <t>Photo ref</t>
        </is>
      </c>
      <c r="L3" s="3" t="inlineStr">
        <is>
          <t>Notes</t>
        </is>
      </c>
    </row>
    <row r="4">
      <c r="A4" s="10" t="n"/>
      <c r="B4" s="10" t="n"/>
      <c r="C4" s="10" t="n"/>
      <c r="D4" s="11" t="n"/>
      <c r="E4" s="12" t="n"/>
      <c r="F4" s="13" t="n"/>
      <c r="G4" s="14" t="str">
        <f>IF(OR(E4="",F4=""),"",E4*F4)</f>
        <v/>
      </c>
      <c r="H4" s="10" t="n"/>
      <c r="I4" s="11" t="n"/>
      <c r="J4" s="15" t="n"/>
      <c r="K4" s="11" t="n"/>
      <c r="L4" s="11" t="n"/>
    </row>
    <row r="5">
      <c r="A5" s="10" t="n"/>
      <c r="B5" s="10" t="n"/>
      <c r="C5" s="10" t="n"/>
      <c r="D5" s="11" t="n"/>
      <c r="E5" s="12" t="n"/>
      <c r="F5" s="13" t="n"/>
      <c r="G5" s="14" t="str">
        <f>IF(OR(E5="",F5=""),"",E5*F5)</f>
        <v/>
      </c>
      <c r="H5" s="10" t="n"/>
      <c r="I5" s="11" t="n"/>
      <c r="J5" s="15" t="n"/>
      <c r="K5" s="11" t="n"/>
      <c r="L5" s="11" t="n"/>
    </row>
    <row r="6">
      <c r="A6" s="10" t="n"/>
      <c r="B6" s="10" t="n"/>
      <c r="C6" s="10" t="n"/>
      <c r="D6" s="11" t="n"/>
      <c r="E6" s="12" t="n"/>
      <c r="F6" s="13" t="n"/>
      <c r="G6" s="14" t="str">
        <f>IF(OR(E6="",F6=""),"",E6*F6)</f>
        <v/>
      </c>
      <c r="H6" s="10" t="n"/>
      <c r="I6" s="11" t="n"/>
      <c r="J6" s="15" t="n"/>
      <c r="K6" s="11" t="n"/>
      <c r="L6" s="11" t="n"/>
    </row>
    <row r="7">
      <c r="A7" s="10" t="n"/>
      <c r="B7" s="10" t="n"/>
      <c r="C7" s="10" t="n"/>
      <c r="D7" s="11" t="n"/>
      <c r="E7" s="12" t="n"/>
      <c r="F7" s="13" t="n"/>
      <c r="G7" s="14" t="str">
        <f>IF(OR(E7="",F7=""),"",E7*F7)</f>
        <v/>
      </c>
      <c r="H7" s="10" t="n"/>
      <c r="I7" s="11" t="n"/>
      <c r="J7" s="15" t="n"/>
      <c r="K7" s="11" t="n"/>
      <c r="L7" s="11" t="n"/>
    </row>
    <row r="8">
      <c r="A8" s="10" t="n"/>
      <c r="B8" s="10" t="n"/>
      <c r="C8" s="10" t="n"/>
      <c r="D8" s="11" t="n"/>
      <c r="E8" s="12" t="n"/>
      <c r="F8" s="13" t="n"/>
      <c r="G8" s="14" t="str">
        <f>IF(OR(E8="",F8=""),"",E8*F8)</f>
        <v/>
      </c>
      <c r="H8" s="10" t="n"/>
      <c r="I8" s="11" t="n"/>
      <c r="J8" s="15" t="n"/>
      <c r="K8" s="11" t="n"/>
      <c r="L8" s="11" t="n"/>
    </row>
    <row r="9">
      <c r="A9" s="10" t="n"/>
      <c r="B9" s="10" t="n"/>
      <c r="C9" s="10" t="n"/>
      <c r="D9" s="11" t="n"/>
      <c r="E9" s="12" t="n"/>
      <c r="F9" s="13" t="n"/>
      <c r="G9" s="14" t="str">
        <f>IF(OR(E9="",F9=""),"",E9*F9)</f>
        <v/>
      </c>
      <c r="H9" s="10" t="n"/>
      <c r="I9" s="11" t="n"/>
      <c r="J9" s="15" t="n"/>
      <c r="K9" s="11" t="n"/>
      <c r="L9" s="11" t="n"/>
    </row>
    <row r="10">
      <c r="A10" s="10" t="n"/>
      <c r="B10" s="10" t="n"/>
      <c r="C10" s="10" t="n"/>
      <c r="D10" s="11" t="n"/>
      <c r="E10" s="12" t="n"/>
      <c r="F10" s="13" t="n"/>
      <c r="G10" s="14" t="str">
        <f>IF(OR(E10="",F10=""),"",E10*F10)</f>
        <v/>
      </c>
      <c r="H10" s="10" t="n"/>
      <c r="I10" s="11" t="n"/>
      <c r="J10" s="15" t="n"/>
      <c r="K10" s="11" t="n"/>
      <c r="L10" s="11" t="n"/>
    </row>
    <row r="11">
      <c r="A11" s="10" t="n"/>
      <c r="B11" s="10" t="n"/>
      <c r="C11" s="10" t="n"/>
      <c r="D11" s="11" t="n"/>
      <c r="E11" s="12" t="n"/>
      <c r="F11" s="13" t="n"/>
      <c r="G11" s="14" t="str">
        <f>IF(OR(E11="",F11=""),"",E11*F11)</f>
        <v/>
      </c>
      <c r="H11" s="10" t="n"/>
      <c r="I11" s="11" t="n"/>
      <c r="J11" s="15" t="n"/>
      <c r="K11" s="11" t="n"/>
      <c r="L11" s="11" t="n"/>
    </row>
    <row r="12">
      <c r="A12" s="10" t="n"/>
      <c r="B12" s="10" t="n"/>
      <c r="C12" s="10" t="n"/>
      <c r="D12" s="11" t="n"/>
      <c r="E12" s="12" t="n"/>
      <c r="F12" s="13" t="n"/>
      <c r="G12" s="14" t="str">
        <f>IF(OR(E12="",F12=""),"",E12*F12)</f>
        <v/>
      </c>
      <c r="H12" s="10" t="n"/>
      <c r="I12" s="11" t="n"/>
      <c r="J12" s="15" t="n"/>
      <c r="K12" s="11" t="n"/>
      <c r="L12" s="11" t="n"/>
    </row>
    <row r="13">
      <c r="A13" s="10" t="n"/>
      <c r="B13" s="10" t="n"/>
      <c r="C13" s="10" t="n"/>
      <c r="D13" s="11" t="n"/>
      <c r="E13" s="12" t="n"/>
      <c r="F13" s="13" t="n"/>
      <c r="G13" s="14" t="str">
        <f>IF(OR(E13="",F13=""),"",E13*F13)</f>
        <v/>
      </c>
      <c r="H13" s="10" t="n"/>
      <c r="I13" s="11" t="n"/>
      <c r="J13" s="15" t="n"/>
      <c r="K13" s="11" t="n"/>
      <c r="L13" s="11" t="n"/>
    </row>
    <row r="14">
      <c r="A14" s="10" t="n"/>
      <c r="B14" s="10" t="n"/>
      <c r="C14" s="10" t="n"/>
      <c r="D14" s="11" t="n"/>
      <c r="E14" s="12" t="n"/>
      <c r="F14" s="13" t="n"/>
      <c r="G14" s="14" t="str">
        <f>IF(OR(E14="",F14=""),"",E14*F14)</f>
        <v/>
      </c>
      <c r="H14" s="10" t="n"/>
      <c r="I14" s="11" t="n"/>
      <c r="J14" s="15" t="n"/>
      <c r="K14" s="11" t="n"/>
      <c r="L14" s="11" t="n"/>
    </row>
    <row r="15">
      <c r="A15" s="10" t="n"/>
      <c r="B15" s="10" t="n"/>
      <c r="C15" s="10" t="n"/>
      <c r="D15" s="11" t="n"/>
      <c r="E15" s="12" t="n"/>
      <c r="F15" s="13" t="n"/>
      <c r="G15" s="14" t="str">
        <f>IF(OR(E15="",F15=""),"",E15*F15)</f>
        <v/>
      </c>
      <c r="H15" s="10" t="n"/>
      <c r="I15" s="11" t="n"/>
      <c r="J15" s="15" t="n"/>
      <c r="K15" s="11" t="n"/>
      <c r="L15" s="11" t="n"/>
    </row>
    <row r="16">
      <c r="A16" s="10" t="n"/>
      <c r="B16" s="10" t="n"/>
      <c r="C16" s="10" t="n"/>
      <c r="D16" s="11" t="n"/>
      <c r="E16" s="12" t="n"/>
      <c r="F16" s="13" t="n"/>
      <c r="G16" s="14" t="str">
        <f>IF(OR(E16="",F16=""),"",E16*F16)</f>
        <v/>
      </c>
      <c r="H16" s="10" t="n"/>
      <c r="I16" s="11" t="n"/>
      <c r="J16" s="15" t="n"/>
      <c r="K16" s="11" t="n"/>
      <c r="L16" s="11" t="n"/>
    </row>
    <row r="17">
      <c r="A17" s="10" t="n"/>
      <c r="B17" s="10" t="n"/>
      <c r="C17" s="10" t="n"/>
      <c r="D17" s="11" t="n"/>
      <c r="E17" s="12" t="n"/>
      <c r="F17" s="13" t="n"/>
      <c r="G17" s="14" t="str">
        <f>IF(OR(E17="",F17=""),"",E17*F17)</f>
        <v/>
      </c>
      <c r="H17" s="10" t="n"/>
      <c r="I17" s="11" t="n"/>
      <c r="J17" s="15" t="n"/>
      <c r="K17" s="11" t="n"/>
      <c r="L17" s="11" t="n"/>
    </row>
    <row r="18">
      <c r="A18" s="10" t="n"/>
      <c r="B18" s="10" t="n"/>
      <c r="C18" s="10" t="n"/>
      <c r="D18" s="11" t="n"/>
      <c r="E18" s="12" t="n"/>
      <c r="F18" s="13" t="n"/>
      <c r="G18" s="14" t="str">
        <f>IF(OR(E18="",F18=""),"",E18*F18)</f>
        <v/>
      </c>
      <c r="H18" s="10" t="n"/>
      <c r="I18" s="11" t="n"/>
      <c r="J18" s="15" t="n"/>
      <c r="K18" s="11" t="n"/>
      <c r="L18" s="11" t="n"/>
    </row>
    <row r="19">
      <c r="A19" s="10" t="n"/>
      <c r="B19" s="10" t="n"/>
      <c r="C19" s="10" t="n"/>
      <c r="D19" s="11" t="n"/>
      <c r="E19" s="12" t="n"/>
      <c r="F19" s="13" t="n"/>
      <c r="G19" s="14" t="str">
        <f>IF(OR(E19="",F19=""),"",E19*F19)</f>
        <v/>
      </c>
      <c r="H19" s="10" t="n"/>
      <c r="I19" s="11" t="n"/>
      <c r="J19" s="15" t="n"/>
      <c r="K19" s="11" t="n"/>
      <c r="L19" s="11" t="n"/>
    </row>
    <row r="20">
      <c r="A20" s="10" t="n"/>
      <c r="B20" s="10" t="n"/>
      <c r="C20" s="10" t="n"/>
      <c r="D20" s="11" t="n"/>
      <c r="E20" s="12" t="n"/>
      <c r="F20" s="13" t="n"/>
      <c r="G20" s="14" t="str">
        <f>IF(OR(E20="",F20=""),"",E20*F20)</f>
        <v/>
      </c>
      <c r="H20" s="10" t="n"/>
      <c r="I20" s="11" t="n"/>
      <c r="J20" s="15" t="n"/>
      <c r="K20" s="11" t="n"/>
      <c r="L20" s="11" t="n"/>
    </row>
    <row r="21">
      <c r="A21" s="10" t="n"/>
      <c r="B21" s="10" t="n"/>
      <c r="C21" s="10" t="n"/>
      <c r="D21" s="11" t="n"/>
      <c r="E21" s="12" t="n"/>
      <c r="F21" s="13" t="n"/>
      <c r="G21" s="14" t="str">
        <f>IF(OR(E21="",F21=""),"",E21*F21)</f>
        <v/>
      </c>
      <c r="H21" s="10" t="n"/>
      <c r="I21" s="11" t="n"/>
      <c r="J21" s="15" t="n"/>
      <c r="K21" s="11" t="n"/>
      <c r="L21" s="11" t="n"/>
    </row>
    <row r="22">
      <c r="A22" s="10" t="n"/>
      <c r="B22" s="10" t="n"/>
      <c r="C22" s="10" t="n"/>
      <c r="D22" s="11" t="n"/>
      <c r="E22" s="12" t="n"/>
      <c r="F22" s="13" t="n"/>
      <c r="G22" s="14" t="str">
        <f>IF(OR(E22="",F22=""),"",E22*F22)</f>
        <v/>
      </c>
      <c r="H22" s="10" t="n"/>
      <c r="I22" s="11" t="n"/>
      <c r="J22" s="15" t="n"/>
      <c r="K22" s="11" t="n"/>
      <c r="L22" s="11" t="n"/>
    </row>
    <row r="23">
      <c r="A23" s="10" t="n"/>
      <c r="B23" s="10" t="n"/>
      <c r="C23" s="10" t="n"/>
      <c r="D23" s="11" t="n"/>
      <c r="E23" s="12" t="n"/>
      <c r="F23" s="13" t="n"/>
      <c r="G23" s="14" t="str">
        <f>IF(OR(E23="",F23=""),"",E23*F23)</f>
        <v/>
      </c>
      <c r="H23" s="10" t="n"/>
      <c r="I23" s="11" t="n"/>
      <c r="J23" s="15" t="n"/>
      <c r="K23" s="11" t="n"/>
      <c r="L23" s="11" t="n"/>
    </row>
    <row r="24">
      <c r="A24" s="10" t="n"/>
      <c r="B24" s="10" t="n"/>
      <c r="C24" s="10" t="n"/>
      <c r="D24" s="11" t="n"/>
      <c r="E24" s="12" t="n"/>
      <c r="F24" s="13" t="n"/>
      <c r="G24" s="14" t="str">
        <f>IF(OR(E24="",F24=""),"",E24*F24)</f>
        <v/>
      </c>
      <c r="H24" s="10" t="n"/>
      <c r="I24" s="11" t="n"/>
      <c r="J24" s="15" t="n"/>
      <c r="K24" s="11" t="n"/>
      <c r="L24" s="11" t="n"/>
    </row>
    <row r="25">
      <c r="A25" s="10" t="n"/>
      <c r="B25" s="10" t="n"/>
      <c r="C25" s="10" t="n"/>
      <c r="D25" s="11" t="n"/>
      <c r="E25" s="12" t="n"/>
      <c r="F25" s="13" t="n"/>
      <c r="G25" s="14" t="str">
        <f>IF(OR(E25="",F25=""),"",E25*F25)</f>
        <v/>
      </c>
      <c r="H25" s="10" t="n"/>
      <c r="I25" s="11" t="n"/>
      <c r="J25" s="15" t="n"/>
      <c r="K25" s="11" t="n"/>
      <c r="L25" s="11" t="n"/>
    </row>
    <row r="26">
      <c r="A26" s="10" t="n"/>
      <c r="B26" s="10" t="n"/>
      <c r="C26" s="10" t="n"/>
      <c r="D26" s="11" t="n"/>
      <c r="E26" s="12" t="n"/>
      <c r="F26" s="13" t="n"/>
      <c r="G26" s="14" t="str">
        <f>IF(OR(E26="",F26=""),"",E26*F26)</f>
        <v/>
      </c>
      <c r="H26" s="10" t="n"/>
      <c r="I26" s="11" t="n"/>
      <c r="J26" s="15" t="n"/>
      <c r="K26" s="11" t="n"/>
      <c r="L26" s="11" t="n"/>
    </row>
    <row r="27">
      <c r="A27" s="10" t="n"/>
      <c r="B27" s="10" t="n"/>
      <c r="C27" s="10" t="n"/>
      <c r="D27" s="11" t="n"/>
      <c r="E27" s="12" t="n"/>
      <c r="F27" s="13" t="n"/>
      <c r="G27" s="14" t="str">
        <f>IF(OR(E27="",F27=""),"",E27*F27)</f>
        <v/>
      </c>
      <c r="H27" s="10" t="n"/>
      <c r="I27" s="11" t="n"/>
      <c r="J27" s="15" t="n"/>
      <c r="K27" s="11" t="n"/>
      <c r="L27" s="11" t="n"/>
    </row>
    <row r="28">
      <c r="A28" s="10" t="n"/>
      <c r="B28" s="10" t="n"/>
      <c r="C28" s="10" t="n"/>
      <c r="D28" s="11" t="n"/>
      <c r="E28" s="12" t="n"/>
      <c r="F28" s="13" t="n"/>
      <c r="G28" s="14" t="str">
        <f>IF(OR(E28="",F28=""),"",E28*F28)</f>
        <v/>
      </c>
      <c r="H28" s="10" t="n"/>
      <c r="I28" s="11" t="n"/>
      <c r="J28" s="15" t="n"/>
      <c r="K28" s="11" t="n"/>
      <c r="L28" s="11" t="n"/>
    </row>
    <row r="29">
      <c r="A29" s="10" t="n"/>
      <c r="B29" s="10" t="n"/>
      <c r="C29" s="10" t="n"/>
      <c r="D29" s="11" t="n"/>
      <c r="E29" s="12" t="n"/>
      <c r="F29" s="13" t="n"/>
      <c r="G29" s="14" t="str">
        <f>IF(OR(E29="",F29=""),"",E29*F29)</f>
        <v/>
      </c>
      <c r="H29" s="10" t="n"/>
      <c r="I29" s="11" t="n"/>
      <c r="J29" s="15" t="n"/>
      <c r="K29" s="11" t="n"/>
      <c r="L29" s="11" t="n"/>
    </row>
    <row r="30">
      <c r="A30" s="10" t="n"/>
      <c r="B30" s="10" t="n"/>
      <c r="C30" s="10" t="n"/>
      <c r="D30" s="11" t="n"/>
      <c r="E30" s="12" t="n"/>
      <c r="F30" s="13" t="n"/>
      <c r="G30" s="14" t="str">
        <f>IF(OR(E30="",F30=""),"",E30*F30)</f>
        <v/>
      </c>
      <c r="H30" s="10" t="n"/>
      <c r="I30" s="11" t="n"/>
      <c r="J30" s="15" t="n"/>
      <c r="K30" s="11" t="n"/>
      <c r="L30" s="11" t="n"/>
    </row>
    <row r="31">
      <c r="A31" s="10" t="n"/>
      <c r="B31" s="10" t="n"/>
      <c r="C31" s="10" t="n"/>
      <c r="D31" s="11" t="n"/>
      <c r="E31" s="12" t="n"/>
      <c r="F31" s="13" t="n"/>
      <c r="G31" s="14" t="str">
        <f>IF(OR(E31="",F31=""),"",E31*F31)</f>
        <v/>
      </c>
      <c r="H31" s="10" t="n"/>
      <c r="I31" s="11" t="n"/>
      <c r="J31" s="15" t="n"/>
      <c r="K31" s="11" t="n"/>
      <c r="L31" s="11" t="n"/>
    </row>
    <row r="32">
      <c r="A32" s="10" t="n"/>
      <c r="B32" s="10" t="n"/>
      <c r="C32" s="10" t="n"/>
      <c r="D32" s="11" t="n"/>
      <c r="E32" s="12" t="n"/>
      <c r="F32" s="13" t="n"/>
      <c r="G32" s="14" t="str">
        <f>IF(OR(E32="",F32=""),"",E32*F32)</f>
        <v/>
      </c>
      <c r="H32" s="10" t="n"/>
      <c r="I32" s="11" t="n"/>
      <c r="J32" s="15" t="n"/>
      <c r="K32" s="11" t="n"/>
      <c r="L32" s="11" t="n"/>
    </row>
    <row r="33">
      <c r="A33" s="10" t="n"/>
      <c r="B33" s="10" t="n"/>
      <c r="C33" s="10" t="n"/>
      <c r="D33" s="11" t="n"/>
      <c r="E33" s="12" t="n"/>
      <c r="F33" s="13" t="n"/>
      <c r="G33" s="14" t="str">
        <f>IF(OR(E33="",F33=""),"",E33*F33)</f>
        <v/>
      </c>
      <c r="H33" s="10" t="n"/>
      <c r="I33" s="11" t="n"/>
      <c r="J33" s="15" t="n"/>
      <c r="K33" s="11" t="n"/>
      <c r="L33" s="11" t="n"/>
    </row>
    <row r="34">
      <c r="A34" s="10" t="n"/>
      <c r="B34" s="10" t="n"/>
      <c r="C34" s="10" t="n"/>
      <c r="D34" s="11" t="n"/>
      <c r="E34" s="12" t="n"/>
      <c r="F34" s="13" t="n"/>
      <c r="G34" s="14" t="str">
        <f>IF(OR(E34="",F34=""),"",E34*F34)</f>
        <v/>
      </c>
      <c r="H34" s="10" t="n"/>
      <c r="I34" s="11" t="n"/>
      <c r="J34" s="15" t="n"/>
      <c r="K34" s="11" t="n"/>
      <c r="L34" s="11" t="n"/>
    </row>
    <row r="35">
      <c r="A35" s="10" t="n"/>
      <c r="B35" s="10" t="n"/>
      <c r="C35" s="10" t="n"/>
      <c r="D35" s="11" t="n"/>
      <c r="E35" s="12" t="n"/>
      <c r="F35" s="13" t="n"/>
      <c r="G35" s="14" t="str">
        <f>IF(OR(E35="",F35=""),"",E35*F35)</f>
        <v/>
      </c>
      <c r="H35" s="10" t="n"/>
      <c r="I35" s="11" t="n"/>
      <c r="J35" s="15" t="n"/>
      <c r="K35" s="11" t="n"/>
      <c r="L35" s="11" t="n"/>
    </row>
    <row r="36">
      <c r="A36" s="10" t="n"/>
      <c r="B36" s="10" t="n"/>
      <c r="C36" s="10" t="n"/>
      <c r="D36" s="11" t="n"/>
      <c r="E36" s="12" t="n"/>
      <c r="F36" s="13" t="n"/>
      <c r="G36" s="14" t="str">
        <f>IF(OR(E36="",F36=""),"",E36*F36)</f>
        <v/>
      </c>
      <c r="H36" s="10" t="n"/>
      <c r="I36" s="11" t="n"/>
      <c r="J36" s="15" t="n"/>
      <c r="K36" s="11" t="n"/>
      <c r="L36" s="11" t="n"/>
    </row>
    <row r="37">
      <c r="A37" s="10" t="n"/>
      <c r="B37" s="10" t="n"/>
      <c r="C37" s="10" t="n"/>
      <c r="D37" s="11" t="n"/>
      <c r="E37" s="12" t="n"/>
      <c r="F37" s="13" t="n"/>
      <c r="G37" s="14" t="str">
        <f>IF(OR(E37="",F37=""),"",E37*F37)</f>
        <v/>
      </c>
      <c r="H37" s="10" t="n"/>
      <c r="I37" s="11" t="n"/>
      <c r="J37" s="15" t="n"/>
      <c r="K37" s="11" t="n"/>
      <c r="L37" s="11" t="n"/>
    </row>
    <row r="38">
      <c r="A38" s="10" t="n"/>
      <c r="B38" s="10" t="n"/>
      <c r="C38" s="10" t="n"/>
      <c r="D38" s="11" t="n"/>
      <c r="E38" s="12" t="n"/>
      <c r="F38" s="13" t="n"/>
      <c r="G38" s="14" t="str">
        <f>IF(OR(E38="",F38=""),"",E38*F38)</f>
        <v/>
      </c>
      <c r="H38" s="10" t="n"/>
      <c r="I38" s="11" t="n"/>
      <c r="J38" s="15" t="n"/>
      <c r="K38" s="11" t="n"/>
      <c r="L38" s="11" t="n"/>
    </row>
    <row r="39">
      <c r="A39" s="10" t="n"/>
      <c r="B39" s="10" t="n"/>
      <c r="C39" s="10" t="n"/>
      <c r="D39" s="11" t="n"/>
      <c r="E39" s="12" t="n"/>
      <c r="F39" s="13" t="n"/>
      <c r="G39" s="14" t="str">
        <f>IF(OR(E39="",F39=""),"",E39*F39)</f>
        <v/>
      </c>
      <c r="H39" s="10" t="n"/>
      <c r="I39" s="11" t="n"/>
      <c r="J39" s="15" t="n"/>
      <c r="K39" s="11" t="n"/>
      <c r="L39" s="11" t="n"/>
    </row>
    <row r="40">
      <c r="A40" s="10" t="n"/>
      <c r="B40" s="10" t="n"/>
      <c r="C40" s="10" t="n"/>
      <c r="D40" s="11" t="n"/>
      <c r="E40" s="12" t="n"/>
      <c r="F40" s="13" t="n"/>
      <c r="G40" s="14" t="str">
        <f>IF(OR(E40="",F40=""),"",E40*F40)</f>
        <v/>
      </c>
      <c r="H40" s="10" t="n"/>
      <c r="I40" s="11" t="n"/>
      <c r="J40" s="15" t="n"/>
      <c r="K40" s="11" t="n"/>
      <c r="L40" s="11" t="n"/>
    </row>
    <row r="41">
      <c r="A41" s="10" t="n"/>
      <c r="B41" s="10" t="n"/>
      <c r="C41" s="10" t="n"/>
      <c r="D41" s="11" t="n"/>
      <c r="E41" s="12" t="n"/>
      <c r="F41" s="13" t="n"/>
      <c r="G41" s="14" t="str">
        <f>IF(OR(E41="",F41=""),"",E41*F41)</f>
        <v/>
      </c>
      <c r="H41" s="10" t="n"/>
      <c r="I41" s="11" t="n"/>
      <c r="J41" s="15" t="n"/>
      <c r="K41" s="11" t="n"/>
      <c r="L41" s="11" t="n"/>
    </row>
    <row r="42">
      <c r="A42" s="10" t="n"/>
      <c r="B42" s="10" t="n"/>
      <c r="C42" s="10" t="n"/>
      <c r="D42" s="11" t="n"/>
      <c r="E42" s="12" t="n"/>
      <c r="F42" s="13" t="n"/>
      <c r="G42" s="14" t="str">
        <f>IF(OR(E42="",F42=""),"",E42*F42)</f>
        <v/>
      </c>
      <c r="H42" s="10" t="n"/>
      <c r="I42" s="11" t="n"/>
      <c r="J42" s="15" t="n"/>
      <c r="K42" s="11" t="n"/>
      <c r="L42" s="11" t="n"/>
    </row>
    <row r="43">
      <c r="A43" s="10" t="n"/>
      <c r="B43" s="10" t="n"/>
      <c r="C43" s="10" t="n"/>
      <c r="D43" s="11" t="n"/>
      <c r="E43" s="12" t="n"/>
      <c r="F43" s="13" t="n"/>
      <c r="G43" s="14" t="str">
        <f>IF(OR(E43="",F43=""),"",E43*F43)</f>
        <v/>
      </c>
      <c r="H43" s="10" t="n"/>
      <c r="I43" s="11" t="n"/>
      <c r="J43" s="15" t="n"/>
      <c r="K43" s="11" t="n"/>
      <c r="L43" s="11" t="n"/>
    </row>
    <row r="44">
      <c r="A44" s="10" t="n"/>
      <c r="B44" s="10" t="n"/>
      <c r="C44" s="10" t="n"/>
      <c r="D44" s="11" t="n"/>
      <c r="E44" s="12" t="n"/>
      <c r="F44" s="13" t="n"/>
      <c r="G44" s="14" t="str">
        <f>IF(OR(E44="",F44=""),"",E44*F44)</f>
        <v/>
      </c>
      <c r="H44" s="10" t="n"/>
      <c r="I44" s="11" t="n"/>
      <c r="J44" s="15" t="n"/>
      <c r="K44" s="11" t="n"/>
      <c r="L44" s="11" t="n"/>
    </row>
    <row r="45">
      <c r="A45" s="10" t="n"/>
      <c r="B45" s="10" t="n"/>
      <c r="C45" s="10" t="n"/>
      <c r="D45" s="11" t="n"/>
      <c r="E45" s="12" t="n"/>
      <c r="F45" s="13" t="n"/>
      <c r="G45" s="14" t="str">
        <f>IF(OR(E45="",F45=""),"",E45*F45)</f>
        <v/>
      </c>
      <c r="H45" s="10" t="n"/>
      <c r="I45" s="11" t="n"/>
      <c r="J45" s="15" t="n"/>
      <c r="K45" s="11" t="n"/>
      <c r="L45" s="11" t="n"/>
    </row>
    <row r="46">
      <c r="A46" s="10" t="n"/>
      <c r="B46" s="10" t="n"/>
      <c r="C46" s="10" t="n"/>
      <c r="D46" s="11" t="n"/>
      <c r="E46" s="12" t="n"/>
      <c r="F46" s="13" t="n"/>
      <c r="G46" s="14" t="str">
        <f>IF(OR(E46="",F46=""),"",E46*F46)</f>
        <v/>
      </c>
      <c r="H46" s="10" t="n"/>
      <c r="I46" s="11" t="n"/>
      <c r="J46" s="15" t="n"/>
      <c r="K46" s="11" t="n"/>
      <c r="L46" s="11" t="n"/>
    </row>
    <row r="47">
      <c r="A47" s="10" t="n"/>
      <c r="B47" s="10" t="n"/>
      <c r="C47" s="10" t="n"/>
      <c r="D47" s="11" t="n"/>
      <c r="E47" s="12" t="n"/>
      <c r="F47" s="13" t="n"/>
      <c r="G47" s="14" t="str">
        <f>IF(OR(E47="",F47=""),"",E47*F47)</f>
        <v/>
      </c>
      <c r="H47" s="10" t="n"/>
      <c r="I47" s="11" t="n"/>
      <c r="J47" s="15" t="n"/>
      <c r="K47" s="11" t="n"/>
      <c r="L47" s="11" t="n"/>
    </row>
    <row r="48">
      <c r="A48" s="10" t="n"/>
      <c r="B48" s="10" t="n"/>
      <c r="C48" s="10" t="n"/>
      <c r="D48" s="11" t="n"/>
      <c r="E48" s="12" t="n"/>
      <c r="F48" s="13" t="n"/>
      <c r="G48" s="14" t="str">
        <f>IF(OR(E48="",F48=""),"",E48*F48)</f>
        <v/>
      </c>
      <c r="H48" s="10" t="n"/>
      <c r="I48" s="11" t="n"/>
      <c r="J48" s="15" t="n"/>
      <c r="K48" s="11" t="n"/>
      <c r="L48" s="11" t="n"/>
    </row>
    <row r="49">
      <c r="A49" s="10" t="n"/>
      <c r="B49" s="10" t="n"/>
      <c r="C49" s="10" t="n"/>
      <c r="D49" s="11" t="n"/>
      <c r="E49" s="12" t="n"/>
      <c r="F49" s="13" t="n"/>
      <c r="G49" s="14" t="str">
        <f>IF(OR(E49="",F49=""),"",E49*F49)</f>
        <v/>
      </c>
      <c r="H49" s="10" t="n"/>
      <c r="I49" s="11" t="n"/>
      <c r="J49" s="15" t="n"/>
      <c r="K49" s="11" t="n"/>
      <c r="L49" s="11" t="n"/>
    </row>
    <row r="50">
      <c r="A50" s="10" t="n"/>
      <c r="B50" s="10" t="n"/>
      <c r="C50" s="10" t="n"/>
      <c r="D50" s="11" t="n"/>
      <c r="E50" s="12" t="n"/>
      <c r="F50" s="13" t="n"/>
      <c r="G50" s="14" t="str">
        <f>IF(OR(E50="",F50=""),"",E50*F50)</f>
        <v/>
      </c>
      <c r="H50" s="10" t="n"/>
      <c r="I50" s="11" t="n"/>
      <c r="J50" s="15" t="n"/>
      <c r="K50" s="11" t="n"/>
      <c r="L50" s="11" t="n"/>
    </row>
    <row r="51">
      <c r="A51" s="10" t="n"/>
      <c r="B51" s="10" t="n"/>
      <c r="C51" s="10" t="n"/>
      <c r="D51" s="11" t="n"/>
      <c r="E51" s="12" t="n"/>
      <c r="F51" s="13" t="n"/>
      <c r="G51" s="14" t="str">
        <f>IF(OR(E51="",F51=""),"",E51*F51)</f>
        <v/>
      </c>
      <c r="H51" s="10" t="n"/>
      <c r="I51" s="11" t="n"/>
      <c r="J51" s="15" t="n"/>
      <c r="K51" s="11" t="n"/>
      <c r="L51" s="11" t="n"/>
    </row>
    <row r="52">
      <c r="A52" s="10" t="n"/>
      <c r="B52" s="10" t="n"/>
      <c r="C52" s="10" t="n"/>
      <c r="D52" s="11" t="n"/>
      <c r="E52" s="12" t="n"/>
      <c r="F52" s="13" t="n"/>
      <c r="G52" s="14" t="str">
        <f>IF(OR(E52="",F52=""),"",E52*F52)</f>
        <v/>
      </c>
      <c r="H52" s="10" t="n"/>
      <c r="I52" s="11" t="n"/>
      <c r="J52" s="15" t="n"/>
      <c r="K52" s="11" t="n"/>
      <c r="L52" s="11" t="n"/>
    </row>
    <row r="53">
      <c r="A53" s="10" t="n"/>
      <c r="B53" s="10" t="n"/>
      <c r="C53" s="10" t="n"/>
      <c r="D53" s="11" t="n"/>
      <c r="E53" s="12" t="n"/>
      <c r="F53" s="13" t="n"/>
      <c r="G53" s="14" t="str">
        <f>IF(OR(E53="",F53=""),"",E53*F53)</f>
        <v/>
      </c>
      <c r="H53" s="10" t="n"/>
      <c r="I53" s="11" t="n"/>
      <c r="J53" s="15" t="n"/>
      <c r="K53" s="11" t="n"/>
      <c r="L53" s="11" t="n"/>
    </row>
    <row r="54">
      <c r="A54" s="10" t="n"/>
      <c r="B54" s="10" t="n"/>
      <c r="C54" s="10" t="n"/>
      <c r="D54" s="11" t="n"/>
      <c r="E54" s="12" t="n"/>
      <c r="F54" s="13" t="n"/>
      <c r="G54" s="14" t="str">
        <f>IF(OR(E54="",F54=""),"",E54*F54)</f>
        <v/>
      </c>
      <c r="H54" s="10" t="n"/>
      <c r="I54" s="11" t="n"/>
      <c r="J54" s="15" t="n"/>
      <c r="K54" s="11" t="n"/>
      <c r="L54" s="11" t="n"/>
    </row>
    <row r="55">
      <c r="A55" s="10" t="n"/>
      <c r="B55" s="10" t="n"/>
      <c r="C55" s="10" t="n"/>
      <c r="D55" s="11" t="n"/>
      <c r="E55" s="12" t="n"/>
      <c r="F55" s="13" t="n"/>
      <c r="G55" s="14" t="str">
        <f>IF(OR(E55="",F55=""),"",E55*F55)</f>
        <v/>
      </c>
      <c r="H55" s="10" t="n"/>
      <c r="I55" s="11" t="n"/>
      <c r="J55" s="15" t="n"/>
      <c r="K55" s="11" t="n"/>
      <c r="L55" s="11" t="n"/>
    </row>
    <row r="56">
      <c r="A56" s="10" t="n"/>
      <c r="B56" s="10" t="n"/>
      <c r="C56" s="10" t="n"/>
      <c r="D56" s="11" t="n"/>
      <c r="E56" s="12" t="n"/>
      <c r="F56" s="13" t="n"/>
      <c r="G56" s="14" t="str">
        <f>IF(OR(E56="",F56=""),"",E56*F56)</f>
        <v/>
      </c>
      <c r="H56" s="10" t="n"/>
      <c r="I56" s="11" t="n"/>
      <c r="J56" s="15" t="n"/>
      <c r="K56" s="11" t="n"/>
      <c r="L56" s="11" t="n"/>
    </row>
    <row r="57">
      <c r="A57" s="10" t="n"/>
      <c r="B57" s="10" t="n"/>
      <c r="C57" s="10" t="n"/>
      <c r="D57" s="11" t="n"/>
      <c r="E57" s="12" t="n"/>
      <c r="F57" s="13" t="n"/>
      <c r="G57" s="14" t="str">
        <f>IF(OR(E57="",F57=""),"",E57*F57)</f>
        <v/>
      </c>
      <c r="H57" s="10" t="n"/>
      <c r="I57" s="11" t="n"/>
      <c r="J57" s="15" t="n"/>
      <c r="K57" s="11" t="n"/>
      <c r="L57" s="11" t="n"/>
    </row>
    <row r="58">
      <c r="A58" s="10" t="n"/>
      <c r="B58" s="10" t="n"/>
      <c r="C58" s="10" t="n"/>
      <c r="D58" s="11" t="n"/>
      <c r="E58" s="12" t="n"/>
      <c r="F58" s="13" t="n"/>
      <c r="G58" s="14" t="str">
        <f>IF(OR(E58="",F58=""),"",E58*F58)</f>
        <v/>
      </c>
      <c r="H58" s="10" t="n"/>
      <c r="I58" s="11" t="n"/>
      <c r="J58" s="15" t="n"/>
      <c r="K58" s="11" t="n"/>
      <c r="L58" s="11" t="n"/>
    </row>
    <row r="59">
      <c r="A59" s="10" t="n"/>
      <c r="B59" s="10" t="n"/>
      <c r="C59" s="10" t="n"/>
      <c r="D59" s="11" t="n"/>
      <c r="E59" s="12" t="n"/>
      <c r="F59" s="13" t="n"/>
      <c r="G59" s="14" t="str">
        <f>IF(OR(E59="",F59=""),"",E59*F59)</f>
        <v/>
      </c>
      <c r="H59" s="10" t="n"/>
      <c r="I59" s="11" t="n"/>
      <c r="J59" s="15" t="n"/>
      <c r="K59" s="11" t="n"/>
      <c r="L59" s="11" t="n"/>
    </row>
    <row r="60">
      <c r="A60" s="10" t="n"/>
      <c r="B60" s="10" t="n"/>
      <c r="C60" s="10" t="n"/>
      <c r="D60" s="11" t="n"/>
      <c r="E60" s="12" t="n"/>
      <c r="F60" s="13" t="n"/>
      <c r="G60" s="14" t="str">
        <f>IF(OR(E60="",F60=""),"",E60*F60)</f>
        <v/>
      </c>
      <c r="H60" s="10" t="n"/>
      <c r="I60" s="11" t="n"/>
      <c r="J60" s="15" t="n"/>
      <c r="K60" s="11" t="n"/>
      <c r="L60" s="11" t="n"/>
    </row>
    <row r="61">
      <c r="A61" s="10" t="n"/>
      <c r="B61" s="10" t="n"/>
      <c r="C61" s="10" t="n"/>
      <c r="D61" s="11" t="n"/>
      <c r="E61" s="12" t="n"/>
      <c r="F61" s="13" t="n"/>
      <c r="G61" s="14" t="str">
        <f>IF(OR(E61="",F61=""),"",E61*F61)</f>
        <v/>
      </c>
      <c r="H61" s="10" t="n"/>
      <c r="I61" s="11" t="n"/>
      <c r="J61" s="15" t="n"/>
      <c r="K61" s="11" t="n"/>
      <c r="L61" s="11" t="n"/>
    </row>
    <row r="62">
      <c r="A62" s="10" t="n"/>
      <c r="B62" s="10" t="n"/>
      <c r="C62" s="10" t="n"/>
      <c r="D62" s="11" t="n"/>
      <c r="E62" s="12" t="n"/>
      <c r="F62" s="13" t="n"/>
      <c r="G62" s="14" t="str">
        <f>IF(OR(E62="",F62=""),"",E62*F62)</f>
        <v/>
      </c>
      <c r="H62" s="10" t="n"/>
      <c r="I62" s="11" t="n"/>
      <c r="J62" s="15" t="n"/>
      <c r="K62" s="11" t="n"/>
      <c r="L62" s="11" t="n"/>
    </row>
    <row r="63">
      <c r="A63" s="10" t="n"/>
      <c r="B63" s="10" t="n"/>
      <c r="C63" s="10" t="n"/>
      <c r="D63" s="11" t="n"/>
      <c r="E63" s="12" t="n"/>
      <c r="F63" s="13" t="n"/>
      <c r="G63" s="14" t="str">
        <f>IF(OR(E63="",F63=""),"",E63*F63)</f>
        <v/>
      </c>
      <c r="H63" s="10" t="n"/>
      <c r="I63" s="11" t="n"/>
      <c r="J63" s="15" t="n"/>
      <c r="K63" s="11" t="n"/>
      <c r="L63" s="11" t="n"/>
    </row>
  </sheetData>
  <autoFilter ref="A3:L3"/>
  <mergeCells count="2">
    <mergeCell ref="A2:L2"/>
    <mergeCell ref="A1:L1"/>
  </mergeCells>
  <conditionalFormatting sqref="F4:F63">
    <cfRule type="cellIs" priority="1" operator="lessThan" dxfId="0">
      <formula>0.25</formula>
    </cfRule>
  </conditionalFormatting>
  <conditionalFormatting sqref="H4:H63">
    <cfRule type="expression" priority="2" dxfId="1" stopIfTrue="0">
      <formula>$H4="Low"</formula>
    </cfRule>
  </conditionalFormatting>
  <dataValidations count="3">
    <dataValidation sqref="B4:B63" showDropDown="0" showInputMessage="0" showErrorMessage="0" allowBlank="1" type="list">
      <formula1>"Inland (Micro Center),Overture,SUNLU,Elegoo,Bambu Lab,Creality,Other / Unknown"</formula1>
    </dataValidation>
    <dataValidation sqref="C4:C63" showDropDown="0" showInputMessage="0" showErrorMessage="0" allowBlank="1" type="list">
      <formula1>"Matte PLA,PLA+,Silk PLA,Regular PLA,TPU,PETG,ABS,ASA,Specialty,Other"</formula1>
    </dataValidation>
    <dataValidation sqref="H4:H63" showDropDown="0" showInputMessage="0" showErrorMessage="0" allowBlank="1" type="list">
      <formula1>"Sealed,Open - stored,Open - in use,Low,Empty"</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41"/>
  <sheetViews>
    <sheetView workbookViewId="0">
      <pane ySplit="3" topLeftCell="A4" activePane="bottomLeft" state="frozen"/>
      <selection pane="bottomLeft" activeCell="A1" sqref="A1"/>
    </sheetView>
  </sheetViews>
  <sheetFormatPr baseColWidth="8" defaultRowHeight="15"/>
  <cols>
    <col width="24" customWidth="1" min="1" max="1"/>
    <col width="10" customWidth="1" min="2" max="2"/>
    <col width="14" customWidth="1" min="3" max="3"/>
    <col width="52" customWidth="1" min="4" max="4"/>
  </cols>
  <sheetData>
    <row r="1" ht="26" customHeight="1">
      <c r="A1" s="1" t="inlineStr">
        <is>
          <t>Inventory Summary — By Brand, Type &amp; Colour</t>
        </is>
      </c>
    </row>
    <row r="2" ht="42" customHeight="1">
      <c r="A2" s="2" t="inlineStr">
        <is>
          <t>Live counts from the Inventory tab (COUNTIF / SUMIF — nothing to type here). Colour counts match keywords in the Color column, so write colours plainly (e.g. 'Matte White', 'Silk Red') and they land in the right row.</t>
        </is>
      </c>
    </row>
    <row r="4">
      <c r="A4" s="8" t="inlineStr">
        <is>
          <t>By brand</t>
        </is>
      </c>
    </row>
    <row r="5" ht="30" customHeight="1">
      <c r="A5" s="3" t="inlineStr">
        <is>
          <t>Category</t>
        </is>
      </c>
      <c r="B5" s="3" t="inlineStr">
        <is>
          <t>Spools</t>
        </is>
      </c>
      <c r="C5" s="3" t="inlineStr">
        <is>
          <t>Est. left (kg)</t>
        </is>
      </c>
      <c r="D5" s="3" t="inlineStr">
        <is>
          <t>Notes</t>
        </is>
      </c>
    </row>
    <row r="6">
      <c r="A6" s="16" t="inlineStr">
        <is>
          <t>Inland (Micro Center)</t>
        </is>
      </c>
      <c r="B6" s="17" t="n">
        <f>COUNTIF(Inventory!$B$4:$B$63,$A6)</f>
        <v>0</v>
      </c>
      <c r="C6" s="18" t="n">
        <f>SUMIF(Inventory!$B$4:$B$63,$A6,Inventory!$G$4:$G$63)</f>
        <v>0</v>
      </c>
      <c r="D6" s="6" t="inlineStr"/>
    </row>
    <row r="7">
      <c r="A7" s="16" t="inlineStr">
        <is>
          <t>Overture</t>
        </is>
      </c>
      <c r="B7" s="17" t="n">
        <f>COUNTIF(Inventory!$B$4:$B$63,$A7)</f>
        <v>0</v>
      </c>
      <c r="C7" s="18" t="n">
        <f>SUMIF(Inventory!$B$4:$B$63,$A7,Inventory!$G$4:$G$63)</f>
        <v>0</v>
      </c>
      <c r="D7" s="6" t="inlineStr"/>
    </row>
    <row r="8">
      <c r="A8" s="16" t="inlineStr">
        <is>
          <t>SUNLU</t>
        </is>
      </c>
      <c r="B8" s="17" t="n">
        <f>COUNTIF(Inventory!$B$4:$B$63,$A8)</f>
        <v>0</v>
      </c>
      <c r="C8" s="18" t="n">
        <f>SUMIF(Inventory!$B$4:$B$63,$A8,Inventory!$G$4:$G$63)</f>
        <v>0</v>
      </c>
      <c r="D8" s="6" t="inlineStr"/>
    </row>
    <row r="9">
      <c r="A9" s="16" t="inlineStr">
        <is>
          <t>Elegoo</t>
        </is>
      </c>
      <c r="B9" s="17" t="n">
        <f>COUNTIF(Inventory!$B$4:$B$63,$A9)</f>
        <v>0</v>
      </c>
      <c r="C9" s="18" t="n">
        <f>SUMIF(Inventory!$B$4:$B$63,$A9,Inventory!$G$4:$G$63)</f>
        <v>0</v>
      </c>
      <c r="D9" s="6" t="inlineStr"/>
    </row>
    <row r="10">
      <c r="A10" s="16" t="inlineStr">
        <is>
          <t>Bambu Lab</t>
        </is>
      </c>
      <c r="B10" s="17" t="n">
        <f>COUNTIF(Inventory!$B$4:$B$63,$A10)</f>
        <v>0</v>
      </c>
      <c r="C10" s="18" t="n">
        <f>SUMIF(Inventory!$B$4:$B$63,$A10,Inventory!$G$4:$G$63)</f>
        <v>0</v>
      </c>
      <c r="D10" s="6" t="inlineStr"/>
    </row>
    <row r="11">
      <c r="A11" s="16" t="inlineStr">
        <is>
          <t>Creality</t>
        </is>
      </c>
      <c r="B11" s="17" t="n">
        <f>COUNTIF(Inventory!$B$4:$B$63,$A11)</f>
        <v>0</v>
      </c>
      <c r="C11" s="18" t="n">
        <f>SUMIF(Inventory!$B$4:$B$63,$A11,Inventory!$G$4:$G$63)</f>
        <v>0</v>
      </c>
      <c r="D11" s="6" t="inlineStr"/>
    </row>
    <row r="12">
      <c r="A12" s="16" t="inlineStr">
        <is>
          <t>Other / Unknown</t>
        </is>
      </c>
      <c r="B12" s="17" t="n">
        <f>COUNTIF(Inventory!$B$4:$B$63,$A12)</f>
        <v>0</v>
      </c>
      <c r="C12" s="18" t="n">
        <f>SUMIF(Inventory!$B$4:$B$63,$A12,Inventory!$G$4:$G$63)</f>
        <v>0</v>
      </c>
      <c r="D12" s="6" t="inlineStr"/>
    </row>
    <row r="14">
      <c r="A14" s="8" t="inlineStr">
        <is>
          <t>By type</t>
        </is>
      </c>
    </row>
    <row r="15" ht="30" customHeight="1">
      <c r="A15" s="3" t="inlineStr">
        <is>
          <t>Category</t>
        </is>
      </c>
      <c r="B15" s="3" t="inlineStr">
        <is>
          <t>Spools</t>
        </is>
      </c>
      <c r="C15" s="3" t="inlineStr">
        <is>
          <t>Est. left (kg)</t>
        </is>
      </c>
      <c r="D15" s="3" t="inlineStr">
        <is>
          <t>Notes</t>
        </is>
      </c>
    </row>
    <row r="16">
      <c r="A16" s="16" t="inlineStr">
        <is>
          <t>Matte PLA</t>
        </is>
      </c>
      <c r="B16" s="17" t="n">
        <f>COUNTIF(Inventory!$C$4:$C$63,$A16)</f>
        <v>0</v>
      </c>
      <c r="C16" s="18" t="n">
        <f>SUMIF(Inventory!$C$4:$C$63,$A16,Inventory!$G$4:$G$63)</f>
        <v>0</v>
      </c>
      <c r="D16" s="6" t="inlineStr">
        <is>
          <t>Matte PLA is the main stock.</t>
        </is>
      </c>
    </row>
    <row r="17">
      <c r="A17" s="16" t="inlineStr">
        <is>
          <t>PLA+</t>
        </is>
      </c>
      <c r="B17" s="17" t="n">
        <f>COUNTIF(Inventory!$C$4:$C$63,$A17)</f>
        <v>0</v>
      </c>
      <c r="C17" s="18" t="n">
        <f>SUMIF(Inventory!$C$4:$C$63,$A17,Inventory!$G$4:$G$63)</f>
        <v>0</v>
      </c>
      <c r="D17" s="6" t="inlineStr"/>
    </row>
    <row r="18">
      <c r="A18" s="16" t="inlineStr">
        <is>
          <t>Silk PLA</t>
        </is>
      </c>
      <c r="B18" s="17" t="n">
        <f>COUNTIF(Inventory!$C$4:$C$63,$A18)</f>
        <v>0</v>
      </c>
      <c r="C18" s="18" t="n">
        <f>SUMIF(Inventory!$C$4:$C$63,$A18,Inventory!$G$4:$G$63)</f>
        <v>0</v>
      </c>
      <c r="D18" s="6" t="inlineStr"/>
    </row>
    <row r="19">
      <c r="A19" s="16" t="inlineStr">
        <is>
          <t>Regular PLA</t>
        </is>
      </c>
      <c r="B19" s="17" t="n">
        <f>COUNTIF(Inventory!$C$4:$C$63,$A19)</f>
        <v>0</v>
      </c>
      <c r="C19" s="18" t="n">
        <f>SUMIF(Inventory!$C$4:$C$63,$A19,Inventory!$G$4:$G$63)</f>
        <v>0</v>
      </c>
      <c r="D19" s="6" t="inlineStr"/>
    </row>
    <row r="20">
      <c r="A20" s="16" t="inlineStr">
        <is>
          <t>TPU</t>
        </is>
      </c>
      <c r="B20" s="17" t="n">
        <f>COUNTIF(Inventory!$C$4:$C$63,$A20)</f>
        <v>0</v>
      </c>
      <c r="C20" s="18" t="n">
        <f>SUMIF(Inventory!$C$4:$C$63,$A20,Inventory!$G$4:$G$63)</f>
        <v>0</v>
      </c>
      <c r="D20" s="6" t="inlineStr"/>
    </row>
    <row r="21">
      <c r="A21" s="16" t="inlineStr">
        <is>
          <t>PETG</t>
        </is>
      </c>
      <c r="B21" s="17" t="n">
        <f>COUNTIF(Inventory!$C$4:$C$63,$A21)</f>
        <v>0</v>
      </c>
      <c r="C21" s="18" t="n">
        <f>SUMIF(Inventory!$C$4:$C$63,$A21,Inventory!$G$4:$G$63)</f>
        <v>0</v>
      </c>
      <c r="D21" s="6" t="inlineStr"/>
    </row>
    <row r="22">
      <c r="A22" s="16" t="inlineStr">
        <is>
          <t>ABS</t>
        </is>
      </c>
      <c r="B22" s="17" t="n">
        <f>COUNTIF(Inventory!$C$4:$C$63,$A22)</f>
        <v>0</v>
      </c>
      <c r="C22" s="18" t="n">
        <f>SUMIF(Inventory!$C$4:$C$63,$A22,Inventory!$G$4:$G$63)</f>
        <v>0</v>
      </c>
      <c r="D22" s="6" t="inlineStr"/>
    </row>
    <row r="23">
      <c r="A23" s="16" t="inlineStr">
        <is>
          <t>ASA</t>
        </is>
      </c>
      <c r="B23" s="17" t="n">
        <f>COUNTIF(Inventory!$C$4:$C$63,$A23)</f>
        <v>0</v>
      </c>
      <c r="C23" s="18" t="n">
        <f>SUMIF(Inventory!$C$4:$C$63,$A23,Inventory!$G$4:$G$63)</f>
        <v>0</v>
      </c>
      <c r="D23" s="6" t="inlineStr"/>
    </row>
    <row r="24">
      <c r="A24" s="16" t="inlineStr">
        <is>
          <t>Specialty</t>
        </is>
      </c>
      <c r="B24" s="17" t="n">
        <f>COUNTIF(Inventory!$C$4:$C$63,$A24)</f>
        <v>0</v>
      </c>
      <c r="C24" s="18" t="n">
        <f>SUMIF(Inventory!$C$4:$C$63,$A24,Inventory!$G$4:$G$63)</f>
        <v>0</v>
      </c>
      <c r="D24" s="6" t="inlineStr"/>
    </row>
    <row r="25">
      <c r="A25" s="16" t="inlineStr">
        <is>
          <t>Other</t>
        </is>
      </c>
      <c r="B25" s="17" t="n">
        <f>COUNTIF(Inventory!$C$4:$C$63,$A25)</f>
        <v>0</v>
      </c>
      <c r="C25" s="18" t="n">
        <f>SUMIF(Inventory!$C$4:$C$63,$A25,Inventory!$G$4:$G$63)</f>
        <v>0</v>
      </c>
      <c r="D25" s="6" t="inlineStr"/>
    </row>
    <row r="27">
      <c r="A27" s="8" t="inlineStr">
        <is>
          <t>By colour (keyword in Color)</t>
        </is>
      </c>
    </row>
    <row r="28" ht="30" customHeight="1">
      <c r="A28" s="3" t="inlineStr">
        <is>
          <t>Category</t>
        </is>
      </c>
      <c r="B28" s="3" t="inlineStr">
        <is>
          <t>Spools</t>
        </is>
      </c>
      <c r="C28" s="3" t="inlineStr">
        <is>
          <t>Est. left (kg)</t>
        </is>
      </c>
      <c r="D28" s="3" t="inlineStr">
        <is>
          <t>Notes</t>
        </is>
      </c>
    </row>
    <row r="29">
      <c r="A29" s="16" t="inlineStr">
        <is>
          <t>White</t>
        </is>
      </c>
      <c r="B29" s="17" t="n">
        <f>COUNTIF(Inventory!$D$4:$D$63,"*White*")</f>
        <v>0</v>
      </c>
      <c r="C29" s="18" t="n">
        <f>SUMIF(Inventory!$D$4:$D$63,"*White*",Inventory!$G$4:$G$63)</f>
        <v>0</v>
      </c>
      <c r="D29" s="6" t="inlineStr"/>
    </row>
    <row r="30">
      <c r="A30" s="16" t="inlineStr">
        <is>
          <t>Black</t>
        </is>
      </c>
      <c r="B30" s="17" t="n">
        <f>COUNTIF(Inventory!$D$4:$D$63,"*Black*")</f>
        <v>0</v>
      </c>
      <c r="C30" s="18" t="n">
        <f>SUMIF(Inventory!$D$4:$D$63,"*Black*",Inventory!$G$4:$G$63)</f>
        <v>0</v>
      </c>
      <c r="D30" s="6" t="inlineStr"/>
    </row>
    <row r="31">
      <c r="A31" s="16" t="inlineStr">
        <is>
          <t>Grey / Gray</t>
        </is>
      </c>
      <c r="B31" s="17" t="n">
        <f>COUNTIF(Inventory!$D$4:$D$63,"*Grey*")</f>
        <v>0</v>
      </c>
      <c r="C31" s="18" t="n">
        <f>SUMIF(Inventory!$D$4:$D$63,"*Grey*",Inventory!$G$4:$G$63)</f>
        <v>0</v>
      </c>
      <c r="D31" s="6" t="inlineStr"/>
    </row>
    <row r="32">
      <c r="A32" s="16" t="inlineStr">
        <is>
          <t>Red</t>
        </is>
      </c>
      <c r="B32" s="17" t="n">
        <f>COUNTIF(Inventory!$D$4:$D$63,"*Red*")</f>
        <v>0</v>
      </c>
      <c r="C32" s="18" t="n">
        <f>SUMIF(Inventory!$D$4:$D$63,"*Red*",Inventory!$G$4:$G$63)</f>
        <v>0</v>
      </c>
      <c r="D32" s="6" t="inlineStr"/>
    </row>
    <row r="33">
      <c r="A33" s="16" t="inlineStr">
        <is>
          <t>Blue</t>
        </is>
      </c>
      <c r="B33" s="17" t="n">
        <f>COUNTIF(Inventory!$D$4:$D$63,"*Blue*")</f>
        <v>0</v>
      </c>
      <c r="C33" s="18" t="n">
        <f>SUMIF(Inventory!$D$4:$D$63,"*Blue*",Inventory!$G$4:$G$63)</f>
        <v>0</v>
      </c>
      <c r="D33" s="6" t="inlineStr"/>
    </row>
    <row r="34">
      <c r="A34" s="16" t="inlineStr">
        <is>
          <t>Green</t>
        </is>
      </c>
      <c r="B34" s="17" t="n">
        <f>COUNTIF(Inventory!$D$4:$D$63,"*Green*")</f>
        <v>0</v>
      </c>
      <c r="C34" s="18" t="n">
        <f>SUMIF(Inventory!$D$4:$D$63,"*Green*",Inventory!$G$4:$G$63)</f>
        <v>0</v>
      </c>
      <c r="D34" s="6" t="inlineStr"/>
    </row>
    <row r="35">
      <c r="A35" s="16" t="inlineStr">
        <is>
          <t>Brown / Tan</t>
        </is>
      </c>
      <c r="B35" s="17" t="n">
        <f>COUNTIF(Inventory!$D$4:$D$63,"*Brown*")</f>
        <v>0</v>
      </c>
      <c r="C35" s="18" t="n">
        <f>SUMIF(Inventory!$D$4:$D$63,"*Brown*",Inventory!$G$4:$G$63)</f>
        <v>0</v>
      </c>
      <c r="D35" s="6" t="inlineStr"/>
    </row>
    <row r="36">
      <c r="A36" s="16" t="inlineStr">
        <is>
          <t>Yellow</t>
        </is>
      </c>
      <c r="B36" s="17" t="n">
        <f>COUNTIF(Inventory!$D$4:$D$63,"*Yellow*")</f>
        <v>0</v>
      </c>
      <c r="C36" s="18" t="n">
        <f>SUMIF(Inventory!$D$4:$D$63,"*Yellow*",Inventory!$G$4:$G$63)</f>
        <v>0</v>
      </c>
      <c r="D36" s="6" t="inlineStr"/>
    </row>
    <row r="37">
      <c r="A37" s="16" t="inlineStr">
        <is>
          <t>Orange</t>
        </is>
      </c>
      <c r="B37" s="17" t="n">
        <f>COUNTIF(Inventory!$D$4:$D$63,"*Orange*")</f>
        <v>0</v>
      </c>
      <c r="C37" s="18" t="n">
        <f>SUMIF(Inventory!$D$4:$D$63,"*Orange*",Inventory!$G$4:$G$63)</f>
        <v>0</v>
      </c>
      <c r="D37" s="6" t="inlineStr"/>
    </row>
    <row r="38">
      <c r="A38" s="16" t="inlineStr">
        <is>
          <t>Pink</t>
        </is>
      </c>
      <c r="B38" s="17" t="n">
        <f>COUNTIF(Inventory!$D$4:$D$63,"*Pink*")</f>
        <v>0</v>
      </c>
      <c r="C38" s="18" t="n">
        <f>SUMIF(Inventory!$D$4:$D$63,"*Pink*",Inventory!$G$4:$G$63)</f>
        <v>0</v>
      </c>
      <c r="D38" s="6" t="inlineStr"/>
    </row>
    <row r="39">
      <c r="A39" s="16" t="inlineStr">
        <is>
          <t>Purple</t>
        </is>
      </c>
      <c r="B39" s="17" t="n">
        <f>COUNTIF(Inventory!$D$4:$D$63,"*Purple*")</f>
        <v>0</v>
      </c>
      <c r="C39" s="18" t="n">
        <f>SUMIF(Inventory!$D$4:$D$63,"*Purple*",Inventory!$G$4:$G$63)</f>
        <v>0</v>
      </c>
      <c r="D39" s="6" t="inlineStr"/>
    </row>
    <row r="41">
      <c r="A41" s="19" t="inlineStr">
        <is>
          <t>Colour notes: Grey counts 'Grey' (write gray as grey), Brown / Tan counts 'Brown' (write tan spools as 'Brown / Tan'), and a multi-colour spool whose name contains two keywords can count in two rows — the brand and type totals above are the exact ones.</t>
        </is>
      </c>
    </row>
  </sheetData>
  <mergeCells count="6">
    <mergeCell ref="A1:D1"/>
    <mergeCell ref="A27:D27"/>
    <mergeCell ref="A4:D4"/>
    <mergeCell ref="A41:D41"/>
    <mergeCell ref="A2:D2"/>
    <mergeCell ref="A14:D14"/>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B12"/>
  <sheetViews>
    <sheetView workbookViewId="0">
      <pane ySplit="3" topLeftCell="A4" activePane="bottomLeft" state="frozen"/>
      <selection pane="bottomLeft" activeCell="A1" sqref="A1"/>
    </sheetView>
  </sheetViews>
  <sheetFormatPr baseColWidth="8" defaultRowHeight="15"/>
  <cols>
    <col width="24" customWidth="1" min="1" max="1"/>
    <col width="88" customWidth="1" min="2" max="2"/>
  </cols>
  <sheetData>
    <row r="1" ht="26" customHeight="1">
      <c r="A1" s="1" t="inlineStr">
        <is>
          <t>How to Use — Photo Logging</t>
        </is>
      </c>
    </row>
    <row r="2" ht="42" customHeight="1">
      <c r="A2" s="2" t="inlineStr">
        <is>
          <t>How spool photos become inventory rows, what each column means, and the one example row format. The example below is an EXAMPLE only — it is not Scott's stock, and it is not counted anywhere in this workbook.</t>
        </is>
      </c>
    </row>
    <row r="3" ht="30" customHeight="1">
      <c r="A3" s="3" t="inlineStr">
        <is>
          <t>Topic</t>
        </is>
      </c>
      <c r="B3" s="3" t="inlineStr">
        <is>
          <t>Details</t>
        </is>
      </c>
    </row>
    <row r="4" ht="58" customHeight="1">
      <c r="A4" s="20" t="inlineStr">
        <is>
          <t>Send photos</t>
        </is>
      </c>
      <c r="B4" s="9" t="inlineStr">
        <is>
          <t>Photograph each spool and send the pictures. Benson reads the label, categorises the spool (brand / type / colour), estimates how much is left from how full the spool looks, and adds one row per spool to Inventory with the photo's filename in Photo ref.</t>
        </is>
      </c>
    </row>
    <row r="5" ht="58" customHeight="1">
      <c r="A5" s="20" t="inlineStr">
        <is>
          <t>Good photo = good log</t>
        </is>
      </c>
      <c r="B5" s="9" t="inlineStr">
        <is>
          <t>Label facing the camera and readable; whole spool in frame (a spool shot edge-on hides how much is left); decent light so the colour reads true. One spool per photo is cleanest — a group shot works when every label is legible. If a spool is unlabelled, say its brand / type / colour in the message and that gets logged instead.</t>
        </is>
      </c>
    </row>
    <row r="6" ht="58" customHeight="1">
      <c r="A6" s="20" t="inlineStr">
        <is>
          <t>Yellow cells are the inputs</t>
        </is>
      </c>
      <c r="B6" s="9" t="inlineStr">
        <is>
          <t>In Inventory, every yellow cell is typed in: #, Brand, Type, Color, Size (kg), Remaining (%), Status, Location, Date logged, Photo ref, Notes. Brand, Type and Status are dropdown lists matching the brands and types tracked in Filament Pricing. Est. left (kg) is the only formula column — leave it alone: = Size x Remaining.</t>
        </is>
      </c>
    </row>
    <row r="7" ht="58" customHeight="1">
      <c r="A7" s="20" t="inlineStr">
        <is>
          <t>Remaining (%)</t>
        </is>
      </c>
      <c r="B7" s="9" t="inlineStr">
        <is>
          <t>Share of the spool left, as a % (type 75% or 0.75). Guide: sealed / untouched = 100%; about three-quarters full = 75%; half = 50%; quarter = 25%; just the core showing = 10% or less. It is an estimate from the photo unless the spool gets weighed — if you weigh one, put the scale weight minus the empty-spool weight in Notes and set Remaining from that.</t>
        </is>
      </c>
    </row>
    <row r="8" ht="58" customHeight="1">
      <c r="A8" s="20" t="inlineStr">
        <is>
          <t>Status</t>
        </is>
      </c>
      <c r="B8" s="9" t="inlineStr">
        <is>
          <t>Sealed = never opened. Open - stored = opened, put away. Open - in use = on the printer, in the AMS or in the dryer. Low = nearly out (Remaining under 25% also highlights pink). Empty = finished; the row stays for history unless you delete it.</t>
        </is>
      </c>
    </row>
    <row r="9" ht="58" customHeight="1">
      <c r="A9" s="20" t="inlineStr">
        <is>
          <t>Location</t>
        </is>
      </c>
      <c r="B9" s="9" t="inlineStr">
        <is>
          <t>Where the spool physically is — free text, keep it short and consistent (e.g. Shelf, Bin 1, AMS, Dryer, Printer). Consistent words make the log searchable.</t>
        </is>
      </c>
    </row>
    <row r="10" ht="58" customHeight="1">
      <c r="A10" s="20" t="inlineStr">
        <is>
          <t>EXAMPLE row (not stock)</t>
        </is>
      </c>
      <c r="B10" s="9" t="inlineStr">
        <is>
          <t># 1  |  Brand: Overture  |  Type: Matte PLA  |  Color: Matte White  |  Size (kg): 1.00  |  Remaining: 100%  |  Est. left (kg): 1.00 (formula)  |  Status: Sealed  |  Location: Shelf  |  Date logged: date the photo was logged  |  Photo ref: the photo's filename  |  Notes: anything the label shows that doesn't fit elsewhere (lot, finish). A real logged row looks exactly like this — this example itself is not counted.</t>
        </is>
      </c>
    </row>
    <row r="11" ht="58" customHeight="1">
      <c r="A11" s="20" t="inlineStr">
        <is>
          <t>Keeping it current</t>
        </is>
      </c>
      <c r="B11" s="9" t="inlineStr">
        <is>
          <t>When a spool moves, empties, or a new one arrives, send a photo (or just say what changed) and the row gets updated. Overview and Summary are formulas, so they follow Inventory automatically — never type counts into them.</t>
        </is>
      </c>
    </row>
    <row r="12" ht="58" customHeight="1">
      <c r="A12" s="20" t="inlineStr">
        <is>
          <t>Prices are elsewhere</t>
        </is>
      </c>
      <c r="B12" s="9" t="inlineStr">
        <is>
          <t>This sheet tracks what you OWN. What things COST — and when a price is good enough to buy — stays in the Filament Pricing sheet, which the Friday watcher keeps updated.</t>
        </is>
      </c>
    </row>
  </sheetData>
  <mergeCells count="2">
    <mergeCell ref="A2:B2"/>
    <mergeCell ref="A1:B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Filament Inventory</dc:title>
  <dcterms:created xmlns:dcterms="http://purl.org/dc/terms/" xmlns:xsi="http://www.w3.org/2001/XMLSchema-instance" xsi:type="dcterms:W3CDTF">2026-10-11T22:59:51+00:00Z</dcterms:created>
  <dcterms:modified xmlns:dcterms="http://purl.org/dc/terms/" xmlns:xsi="http://www.w3.org/2001/XMLSchema-instance" xsi:type="dcterms:W3CDTF">2026-10-11T22:59:51+00:00Z</dcterms:modified>
</cp:coreProperties>
</file>